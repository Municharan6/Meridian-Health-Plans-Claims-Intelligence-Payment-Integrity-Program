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unic\Desktop\Oriana Data Analytics Internship\Final Project\Dataset\"/>
    </mc:Choice>
  </mc:AlternateContent>
  <xr:revisionPtr revIDLastSave="0" documentId="13_ncr:1_{A530974E-CB1F-4B41-9029-6546CAFD64E3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Summary" sheetId="1" r:id="rId1"/>
    <sheet name="Case Report" sheetId="2" r:id="rId2"/>
    <sheet name="Early Claims" sheetId="3" r:id="rId3"/>
    <sheet name="Units Detail" sheetId="4" r:id="rId4"/>
    <sheet name="Duplicates" sheetId="5" r:id="rId5"/>
    <sheet name="Pricing Detail" sheetId="6" r:id="rId6"/>
    <sheet name="Denial Detai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" i="2" l="1"/>
  <c r="J11" i="7"/>
  <c r="D11" i="7"/>
  <c r="C11" i="7"/>
  <c r="C10" i="7"/>
  <c r="J10" i="7" s="1"/>
  <c r="C9" i="7"/>
  <c r="J9" i="7" s="1"/>
  <c r="C8" i="7"/>
  <c r="J8" i="7" s="1"/>
  <c r="J7" i="7"/>
  <c r="D7" i="7"/>
  <c r="C7" i="7"/>
  <c r="C6" i="7"/>
  <c r="J6" i="7" s="1"/>
  <c r="C5" i="7"/>
  <c r="J5" i="7" s="1"/>
  <c r="H9" i="6"/>
  <c r="E9" i="6"/>
  <c r="H8" i="6"/>
  <c r="E8" i="6"/>
  <c r="H7" i="6"/>
  <c r="E7" i="6"/>
  <c r="H6" i="6"/>
  <c r="E6" i="6"/>
  <c r="H5" i="6"/>
  <c r="E5" i="6"/>
  <c r="G33" i="5"/>
  <c r="F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Q10" i="2" s="1"/>
  <c r="K6" i="5"/>
  <c r="K5" i="5"/>
  <c r="K33" i="5" s="1"/>
  <c r="F7" i="4"/>
  <c r="F6" i="4"/>
  <c r="F5" i="4"/>
  <c r="H35" i="3"/>
  <c r="G35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P16" i="2"/>
  <c r="G16" i="2"/>
  <c r="F16" i="2"/>
  <c r="Q15" i="2"/>
  <c r="O15" i="2"/>
  <c r="N15" i="2"/>
  <c r="M15" i="2"/>
  <c r="J15" i="2"/>
  <c r="Q14" i="2"/>
  <c r="O14" i="2"/>
  <c r="N14" i="2"/>
  <c r="M14" i="2"/>
  <c r="J14" i="2"/>
  <c r="Q13" i="2"/>
  <c r="O13" i="2"/>
  <c r="N13" i="2"/>
  <c r="M13" i="2"/>
  <c r="J13" i="2"/>
  <c r="Q12" i="2"/>
  <c r="O12" i="2"/>
  <c r="R12" i="2" s="1"/>
  <c r="N12" i="2"/>
  <c r="M12" i="2"/>
  <c r="J12" i="2"/>
  <c r="Q11" i="2"/>
  <c r="O11" i="2"/>
  <c r="N11" i="2"/>
  <c r="M11" i="2"/>
  <c r="J11" i="2"/>
  <c r="O10" i="2"/>
  <c r="M10" i="2"/>
  <c r="J10" i="2"/>
  <c r="Q9" i="2"/>
  <c r="O9" i="2"/>
  <c r="N9" i="2"/>
  <c r="M9" i="2"/>
  <c r="J9" i="2"/>
  <c r="Q8" i="2"/>
  <c r="O8" i="2"/>
  <c r="R8" i="2" s="1"/>
  <c r="N8" i="2"/>
  <c r="M8" i="2"/>
  <c r="J8" i="2"/>
  <c r="Q7" i="2"/>
  <c r="O7" i="2"/>
  <c r="N7" i="2"/>
  <c r="M7" i="2"/>
  <c r="J7" i="2"/>
  <c r="Q6" i="2"/>
  <c r="O6" i="2"/>
  <c r="R6" i="2" s="1"/>
  <c r="N6" i="2"/>
  <c r="M6" i="2"/>
  <c r="J6" i="2"/>
  <c r="Q5" i="2"/>
  <c r="O5" i="2"/>
  <c r="N5" i="2"/>
  <c r="M5" i="2"/>
  <c r="J5" i="2"/>
  <c r="Q4" i="2"/>
  <c r="O4" i="2"/>
  <c r="R4" i="2" s="1"/>
  <c r="N4" i="2"/>
  <c r="M4" i="2"/>
  <c r="J4" i="2"/>
  <c r="B8" i="1"/>
  <c r="B7" i="1"/>
  <c r="B6" i="1"/>
  <c r="B5" i="1"/>
  <c r="B4" i="1"/>
  <c r="Q16" i="2" l="1"/>
  <c r="R14" i="2"/>
  <c r="R9" i="2"/>
  <c r="R7" i="2"/>
  <c r="R16" i="2" s="1"/>
  <c r="B9" i="1" s="1"/>
  <c r="B11" i="1" s="1"/>
  <c r="R5" i="2"/>
  <c r="R15" i="2"/>
  <c r="R13" i="2"/>
  <c r="M16" i="2"/>
  <c r="N16" i="2"/>
  <c r="R11" i="2"/>
  <c r="R10" i="2"/>
  <c r="D8" i="7"/>
  <c r="D5" i="7"/>
  <c r="D9" i="7"/>
  <c r="O16" i="2"/>
  <c r="D6" i="7"/>
  <c r="D10" i="7"/>
</calcChain>
</file>

<file path=xl/sharedStrings.xml><?xml version="1.0" encoding="utf-8"?>
<sst xmlns="http://schemas.openxmlformats.org/spreadsheetml/2006/main" count="423" uniqueCount="232">
  <si>
    <t>Meridian Health Plans: Fraud and Leakage Case Report</t>
  </si>
  <si>
    <t>Key numbers</t>
  </si>
  <si>
    <t>Providers in this report</t>
  </si>
  <si>
    <t>Providers with at least one red flag or a Medium/High risk score</t>
  </si>
  <si>
    <t xml:space="preserve">   High risk</t>
  </si>
  <si>
    <t xml:space="preserve">   Medium risk</t>
  </si>
  <si>
    <t xml:space="preserve">   Low risk (flagged by a rule)</t>
  </si>
  <si>
    <t>Total paid to these providers ($)</t>
  </si>
  <si>
    <t>Paid amount on their claims in the data</t>
  </si>
  <si>
    <t>Estimated money at risk ($)</t>
  </si>
  <si>
    <t>Estimate; see Method Notes. Not confirmed losses.</t>
  </si>
  <si>
    <t>Total paid, all claims in the data ($)</t>
  </si>
  <si>
    <t>Input from the preprocessing reference totals (all providers, latest claim versions)</t>
  </si>
  <si>
    <t>Estimated money at risk as % of total paid</t>
  </si>
  <si>
    <t>Main findings</t>
  </si>
  <si>
    <t>1. P2086 is the strongest lead: bills about 7 units per line on procedure 97110 against about 3 for peers, and all claims received before the service date belong to this provider.</t>
  </si>
  <si>
    <t>2. P2174 (hospital) bills imaging at about 2.9x the price per unit of other hospitals, but allowed amounts are not higher, so the issue is inflated charges rather than overpayment.</t>
  </si>
  <si>
    <t>3. Seven providers have denial rates of 55-76%, mostly under one denial code. See Denial Detail.</t>
  </si>
  <si>
    <t>4. P2104 has most of the possible duplicate-billing claims. See Duplicates.</t>
  </si>
  <si>
    <t>5. Every item is a lead for investigation. Peer groups use place of service; they should be re-checked with provider type and specialty.</t>
  </si>
  <si>
    <t>Sheets: Case Report (main table), Early Claims, Units Detail, Duplicates, Pricing Detail, Denial Detail, Method Notes.</t>
  </si>
  <si>
    <t>Suspicious Provider Case Report</t>
  </si>
  <si>
    <t>Rank</t>
  </si>
  <si>
    <t>Provider ID</t>
  </si>
  <si>
    <t>Peer group</t>
  </si>
  <si>
    <t>Risk level</t>
  </si>
  <si>
    <t>Risk score (0-100)</t>
  </si>
  <si>
    <t>Claims</t>
  </si>
  <si>
    <t>Total paid ($)</t>
  </si>
  <si>
    <t>Avg billed per claim ($)</t>
  </si>
  <si>
    <t>Peer median avg billed ($)</t>
  </si>
  <si>
    <t>Billed vs peers (x)</t>
  </si>
  <si>
    <t>Denial rate</t>
  </si>
  <si>
    <t>Peer median denial rate</t>
  </si>
  <si>
    <t>Claims received before service</t>
  </si>
  <si>
    <t>Possible duplicate claims</t>
  </si>
  <si>
    <t>Paid on early-received claims ($)</t>
  </si>
  <si>
    <t>Excess-unit paid, other claims ($)</t>
  </si>
  <si>
    <t>Paid on duplicate copies ($)</t>
  </si>
  <si>
    <t>Est. money at risk ($)</t>
  </si>
  <si>
    <t>Main issue</t>
  </si>
  <si>
    <t>P2086</t>
  </si>
  <si>
    <t>11 - Office</t>
  </si>
  <si>
    <t>High</t>
  </si>
  <si>
    <t>High billing / High units / Received before service</t>
  </si>
  <si>
    <t>P2174</t>
  </si>
  <si>
    <t>22 - Outpatient Hospital</t>
  </si>
  <si>
    <t>High billing / Inflated charges</t>
  </si>
  <si>
    <t>P2134</t>
  </si>
  <si>
    <t>Medium</t>
  </si>
  <si>
    <t>High denial rate</t>
  </si>
  <si>
    <t>P2119</t>
  </si>
  <si>
    <t>High billing / High denial rate</t>
  </si>
  <si>
    <t>P2166</t>
  </si>
  <si>
    <t>High billing</t>
  </si>
  <si>
    <t>P2037</t>
  </si>
  <si>
    <t>81 - Independent Lab</t>
  </si>
  <si>
    <t>Statistical outlier only</t>
  </si>
  <si>
    <t>P2104</t>
  </si>
  <si>
    <t>Possible duplicates</t>
  </si>
  <si>
    <t>P2210</t>
  </si>
  <si>
    <t>P2140</t>
  </si>
  <si>
    <t>Low</t>
  </si>
  <si>
    <t>P2144</t>
  </si>
  <si>
    <t>P2103</t>
  </si>
  <si>
    <t>P2006</t>
  </si>
  <si>
    <t>Total</t>
  </si>
  <si>
    <t>Est. money at risk = paid on early-received claims + excess-unit paid on other claims + paid on duplicate copies (all copies after the first). It is an estimate, only filled in where a clear pattern exists; see Method Notes.</t>
  </si>
  <si>
    <t>Claims received before the service date</t>
  </si>
  <si>
    <t>All claims in the data where received date is earlier than service start date. A claim cannot normally be billed before the service happens.</t>
  </si>
  <si>
    <t>Claim ID</t>
  </si>
  <si>
    <t>Member ID</t>
  </si>
  <si>
    <t>Service date</t>
  </si>
  <si>
    <t>Received date</t>
  </si>
  <si>
    <t>Days received before service</t>
  </si>
  <si>
    <t>Billed ($)</t>
  </si>
  <si>
    <t>Paid ($)</t>
  </si>
  <si>
    <t>Status</t>
  </si>
  <si>
    <t>CLM1052481</t>
  </si>
  <si>
    <t>M104086</t>
  </si>
  <si>
    <t>Paid</t>
  </si>
  <si>
    <t>CLM1072164</t>
  </si>
  <si>
    <t>M105591</t>
  </si>
  <si>
    <t>CLM1006715</t>
  </si>
  <si>
    <t>M100553</t>
  </si>
  <si>
    <t>CLM1004050</t>
  </si>
  <si>
    <t>M100339</t>
  </si>
  <si>
    <t>CLM1071042</t>
  </si>
  <si>
    <t>M105500</t>
  </si>
  <si>
    <t>Denied</t>
  </si>
  <si>
    <t>CLM1086072</t>
  </si>
  <si>
    <t>M106692</t>
  </si>
  <si>
    <t>CLM1025174</t>
  </si>
  <si>
    <t>M101956</t>
  </si>
  <si>
    <t>CLM1002109</t>
  </si>
  <si>
    <t>M100183</t>
  </si>
  <si>
    <t>CLM1102542</t>
  </si>
  <si>
    <t>M107989</t>
  </si>
  <si>
    <t>CLM1000927</t>
  </si>
  <si>
    <t>M100075</t>
  </si>
  <si>
    <t>CLM1011607</t>
  </si>
  <si>
    <t>M100928</t>
  </si>
  <si>
    <t>CLM1094041</t>
  </si>
  <si>
    <t>M107297</t>
  </si>
  <si>
    <t>CLM1016326</t>
  </si>
  <si>
    <t>M101277</t>
  </si>
  <si>
    <t>CLM1007432</t>
  </si>
  <si>
    <t>M100598</t>
  </si>
  <si>
    <t>CLM1056292</t>
  </si>
  <si>
    <t>M104361</t>
  </si>
  <si>
    <t>CLM1020827</t>
  </si>
  <si>
    <t>M101641</t>
  </si>
  <si>
    <t>CLM1000094</t>
  </si>
  <si>
    <t>M100004</t>
  </si>
  <si>
    <t>CLM1007821</t>
  </si>
  <si>
    <t>M100625</t>
  </si>
  <si>
    <t>CLM1046961</t>
  </si>
  <si>
    <t>M103659</t>
  </si>
  <si>
    <t>CLM1031545</t>
  </si>
  <si>
    <t>M102445</t>
  </si>
  <si>
    <t>CLM1074544</t>
  </si>
  <si>
    <t>M105777</t>
  </si>
  <si>
    <t>CLM1017005</t>
  </si>
  <si>
    <t>M101338</t>
  </si>
  <si>
    <t>CLM1009439</t>
  </si>
  <si>
    <t>M100752</t>
  </si>
  <si>
    <t>CLM1030976</t>
  </si>
  <si>
    <t>M102401</t>
  </si>
  <si>
    <t>CLM1012889</t>
  </si>
  <si>
    <t>M101011</t>
  </si>
  <si>
    <t>CLM1033496</t>
  </si>
  <si>
    <t>M102594</t>
  </si>
  <si>
    <t>CLM1035712</t>
  </si>
  <si>
    <t>M102754</t>
  </si>
  <si>
    <t>CLM1005157</t>
  </si>
  <si>
    <t>M100431</t>
  </si>
  <si>
    <t>CLM1019052</t>
  </si>
  <si>
    <t>M101496</t>
  </si>
  <si>
    <t>CLM1002140</t>
  </si>
  <si>
    <t>M100185</t>
  </si>
  <si>
    <t>Pending</t>
  </si>
  <si>
    <t>Claims:</t>
  </si>
  <si>
    <t>P2086: units billed per line vs similar providers</t>
  </si>
  <si>
    <t>Peers = other providers in the same peer group (11 - Office). Procedures with at least 5 lines. A ratio near 1.0 is normal.</t>
  </si>
  <si>
    <t>Procedure code</t>
  </si>
  <si>
    <t>Lines (provider)</t>
  </si>
  <si>
    <t>Avg units (provider)</t>
  </si>
  <si>
    <t>Lines (peers)</t>
  </si>
  <si>
    <t>Avg units (peers)</t>
  </si>
  <si>
    <t>Units ratio (x)</t>
  </si>
  <si>
    <t>97110</t>
  </si>
  <si>
    <t>97140</t>
  </si>
  <si>
    <t>97161</t>
  </si>
  <si>
    <t>Possible duplicate billing</t>
  </si>
  <si>
    <t>Claims with the same member, provider, service date and diagnosis. Some may be legitimate (for example a same-day follow-up). Copy 2 and later are counted as extra copies.</t>
  </si>
  <si>
    <t>Diagnosis</t>
  </si>
  <si>
    <t>Set</t>
  </si>
  <si>
    <t>Copy no.</t>
  </si>
  <si>
    <t>Extra copy (1 = yes)</t>
  </si>
  <si>
    <t>P2064</t>
  </si>
  <si>
    <t>M100259</t>
  </si>
  <si>
    <t>J06.9</t>
  </si>
  <si>
    <t>CLM1003124</t>
  </si>
  <si>
    <t>CLM1003126</t>
  </si>
  <si>
    <t>M100936</t>
  </si>
  <si>
    <t>Z00.00</t>
  </si>
  <si>
    <t>CLM1011714</t>
  </si>
  <si>
    <t>CLM1103927</t>
  </si>
  <si>
    <t>M101356</t>
  </si>
  <si>
    <t>U07.1</t>
  </si>
  <si>
    <t>CLM1017238</t>
  </si>
  <si>
    <t>CLM1103869</t>
  </si>
  <si>
    <t>M101821</t>
  </si>
  <si>
    <t>N18.30</t>
  </si>
  <si>
    <t>CLM1023197</t>
  </si>
  <si>
    <t>CLM1103892</t>
  </si>
  <si>
    <t>P2008</t>
  </si>
  <si>
    <t>M102324</t>
  </si>
  <si>
    <t>CLM1029875</t>
  </si>
  <si>
    <t>CLM1029876</t>
  </si>
  <si>
    <t>P2093</t>
  </si>
  <si>
    <t>M103314</t>
  </si>
  <si>
    <t>CLM1042930</t>
  </si>
  <si>
    <t>CLM1042933</t>
  </si>
  <si>
    <t>M105117</t>
  </si>
  <si>
    <t>CLM1066052</t>
  </si>
  <si>
    <t>CLM1103990</t>
  </si>
  <si>
    <t>M105168</t>
  </si>
  <si>
    <t>CLM1066770</t>
  </si>
  <si>
    <t>CLM1103934</t>
  </si>
  <si>
    <t>M106242</t>
  </si>
  <si>
    <t>CLM1080516</t>
  </si>
  <si>
    <t>CLM1103995</t>
  </si>
  <si>
    <t>M106906</t>
  </si>
  <si>
    <t>CLM1088974</t>
  </si>
  <si>
    <t>CLM1103893</t>
  </si>
  <si>
    <t>M106980</t>
  </si>
  <si>
    <t>J10.1</t>
  </si>
  <si>
    <t>CLM1089981</t>
  </si>
  <si>
    <t>CLM1103939</t>
  </si>
  <si>
    <t>M107406</t>
  </si>
  <si>
    <t>J02.9</t>
  </si>
  <si>
    <t>CLM1095458</t>
  </si>
  <si>
    <t>CLM1103938</t>
  </si>
  <si>
    <t>M107728</t>
  </si>
  <si>
    <t>CLM1099425</t>
  </si>
  <si>
    <t>CLM1103851</t>
  </si>
  <si>
    <t>M107770</t>
  </si>
  <si>
    <t>CLM1099988</t>
  </si>
  <si>
    <t>CLM1103910</t>
  </si>
  <si>
    <t>P2174: billed and allowed price per unit vs other providers in the same peer group</t>
  </si>
  <si>
    <t>Paid claims only. Peers = other providers in 22 - Outpatient Hospital. Billed price is far above peers, but allowed (contract) price is about the same or lower, so the plan is not paying more.</t>
  </si>
  <si>
    <t>Billed per unit (provider, $)</t>
  </si>
  <si>
    <t>Billed per unit (peers, $)</t>
  </si>
  <si>
    <t>Billed ratio (x)</t>
  </si>
  <si>
    <t>Allowed per unit (provider, $)</t>
  </si>
  <si>
    <t>Allowed per unit (peers, $)</t>
  </si>
  <si>
    <t>Allowed ratio (x)</t>
  </si>
  <si>
    <t>71046</t>
  </si>
  <si>
    <t>73721</t>
  </si>
  <si>
    <t>74177</t>
  </si>
  <si>
    <t>70553</t>
  </si>
  <si>
    <t>77067</t>
  </si>
  <si>
    <t>Providers with a very high denial rate</t>
  </si>
  <si>
    <t>Count of denied claims by denial code (claims in the provider's main place of service, adjusted claims excluded). Check the meaning of each code in the denial codes reference table.</t>
  </si>
  <si>
    <t>Denied claims</t>
  </si>
  <si>
    <t>COD01</t>
  </si>
  <si>
    <t>INF01</t>
  </si>
  <si>
    <t>NCV01</t>
  </si>
  <si>
    <t>OON01</t>
  </si>
  <si>
    <t>TF01</t>
  </si>
  <si>
    <t>Check: codes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</si>
</sst>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\$#,##0;&quot;($&quot;#,##0\);\-"/>
    <numFmt numFmtId="166" formatCode="0.0"/>
    <numFmt numFmtId="167" formatCode="0.0\x"/>
    <numFmt numFmtId="168" formatCode="yyyy\-mm\-dd"/>
    <numFmt numFmtId="169" formatCode="0.00\x"/>
    <numFmt numFmtId="170" formatCode="\$#,##0.00"/>
  </numFmts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B6B6"/>
        <bgColor rgb="FFFF99CC"/>
      </patternFill>
    </fill>
    <fill>
      <patternFill patternType="solid">
        <fgColor rgb="FFFFE699"/>
        <bgColor rgb="FFFFFFCC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0" fontId="2" fillId="0" borderId="1" xfId="0" applyFont="1" applyBorder="1"/>
    <xf numFmtId="165" fontId="4" fillId="0" borderId="1" xfId="0" applyNumberFormat="1" applyFont="1" applyBorder="1"/>
    <xf numFmtId="165" fontId="5" fillId="0" borderId="1" xfId="0" applyNumberFormat="1" applyFont="1" applyBorder="1"/>
    <xf numFmtId="10" fontId="4" fillId="0" borderId="1" xfId="0" applyNumberFormat="1" applyFont="1" applyBorder="1"/>
    <xf numFmtId="0" fontId="6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166" fontId="5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/>
    <xf numFmtId="0" fontId="0" fillId="6" borderId="1" xfId="0" applyFill="1" applyBorder="1"/>
    <xf numFmtId="164" fontId="3" fillId="6" borderId="1" xfId="0" applyNumberFormat="1" applyFont="1" applyFill="1" applyBorder="1"/>
    <xf numFmtId="165" fontId="3" fillId="6" borderId="1" xfId="0" applyNumberFormat="1" applyFont="1" applyFill="1" applyBorder="1"/>
    <xf numFmtId="168" fontId="5" fillId="0" borderId="1" xfId="0" applyNumberFormat="1" applyFont="1" applyBorder="1"/>
    <xf numFmtId="0" fontId="5" fillId="0" borderId="1" xfId="0" applyFont="1" applyBorder="1"/>
    <xf numFmtId="2" fontId="5" fillId="0" borderId="1" xfId="0" applyNumberFormat="1" applyFont="1" applyBorder="1"/>
    <xf numFmtId="169" fontId="4" fillId="0" borderId="1" xfId="0" applyNumberFormat="1" applyFont="1" applyBorder="1"/>
    <xf numFmtId="170" fontId="5" fillId="0" borderId="1" xfId="0" applyNumberFormat="1" applyFont="1" applyBorder="1"/>
    <xf numFmtId="9" fontId="4" fillId="0" borderId="1" xfId="0" applyNumberFormat="1" applyFont="1" applyBorder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showGridLines="0" topLeftCell="A12" zoomScaleNormal="100" workbookViewId="0">
      <selection activeCell="B13" sqref="B13"/>
    </sheetView>
  </sheetViews>
  <sheetFormatPr defaultColWidth="8.6328125" defaultRowHeight="14.5" x14ac:dyDescent="0.35"/>
  <cols>
    <col min="1" max="1" width="46" customWidth="1"/>
    <col min="2" max="2" width="18" customWidth="1"/>
    <col min="3" max="3" width="70" customWidth="1"/>
  </cols>
  <sheetData>
    <row r="1" spans="1:3" ht="20" x14ac:dyDescent="0.4">
      <c r="A1" s="1" t="s">
        <v>0</v>
      </c>
    </row>
    <row r="3" spans="1:3" x14ac:dyDescent="0.35">
      <c r="A3" s="3" t="s">
        <v>1</v>
      </c>
    </row>
    <row r="4" spans="1:3" x14ac:dyDescent="0.35">
      <c r="A4" s="4" t="s">
        <v>2</v>
      </c>
      <c r="B4" s="5">
        <f>COUNTA('Case Report'!B4:B15)</f>
        <v>12</v>
      </c>
      <c r="C4" s="6" t="s">
        <v>3</v>
      </c>
    </row>
    <row r="5" spans="1:3" x14ac:dyDescent="0.35">
      <c r="A5" s="4" t="s">
        <v>4</v>
      </c>
      <c r="B5" s="5">
        <f>COUNTIF('Case Report'!D4:D15,"High")</f>
        <v>2</v>
      </c>
      <c r="C5" s="6"/>
    </row>
    <row r="6" spans="1:3" x14ac:dyDescent="0.35">
      <c r="A6" s="4" t="s">
        <v>5</v>
      </c>
      <c r="B6" s="5">
        <f>COUNTIF('Case Report'!D4:D15,"Medium")</f>
        <v>6</v>
      </c>
      <c r="C6" s="6"/>
    </row>
    <row r="7" spans="1:3" x14ac:dyDescent="0.35">
      <c r="A7" s="4" t="s">
        <v>6</v>
      </c>
      <c r="B7" s="5">
        <f>COUNTIF('Case Report'!D4:D15,"Low")</f>
        <v>4</v>
      </c>
      <c r="C7" s="6"/>
    </row>
    <row r="8" spans="1:3" x14ac:dyDescent="0.35">
      <c r="A8" s="4" t="s">
        <v>7</v>
      </c>
      <c r="B8" s="7">
        <f>'Case Report'!G16</f>
        <v>141949.56</v>
      </c>
      <c r="C8" s="6" t="s">
        <v>8</v>
      </c>
    </row>
    <row r="9" spans="1:3" x14ac:dyDescent="0.35">
      <c r="A9" s="4" t="s">
        <v>9</v>
      </c>
      <c r="B9" s="7">
        <f>'Case Report'!R16</f>
        <v>42190.33</v>
      </c>
      <c r="C9" s="6" t="s">
        <v>10</v>
      </c>
    </row>
    <row r="10" spans="1:3" x14ac:dyDescent="0.35">
      <c r="A10" s="4" t="s">
        <v>11</v>
      </c>
      <c r="B10" s="8">
        <v>7526594.0199999996</v>
      </c>
      <c r="C10" s="6" t="s">
        <v>12</v>
      </c>
    </row>
    <row r="11" spans="1:3" x14ac:dyDescent="0.35">
      <c r="A11" s="4" t="s">
        <v>13</v>
      </c>
      <c r="B11" s="9">
        <f>IFERROR(B9/B10,0)</f>
        <v>5.6055009593834852E-3</v>
      </c>
      <c r="C11" s="6"/>
    </row>
    <row r="14" spans="1:3" x14ac:dyDescent="0.35">
      <c r="A14" s="3" t="s">
        <v>14</v>
      </c>
    </row>
    <row r="15" spans="1:3" ht="31.5" customHeight="1" x14ac:dyDescent="0.35">
      <c r="A15" s="34" t="s">
        <v>15</v>
      </c>
      <c r="B15" s="34"/>
      <c r="C15" s="34"/>
    </row>
    <row r="16" spans="1:3" ht="31.5" customHeight="1" x14ac:dyDescent="0.35">
      <c r="A16" s="34" t="s">
        <v>16</v>
      </c>
      <c r="B16" s="34"/>
      <c r="C16" s="34"/>
    </row>
    <row r="17" spans="1:3" ht="31.5" customHeight="1" x14ac:dyDescent="0.35">
      <c r="A17" s="34" t="s">
        <v>17</v>
      </c>
      <c r="B17" s="34"/>
      <c r="C17" s="34"/>
    </row>
    <row r="18" spans="1:3" ht="31.5" customHeight="1" x14ac:dyDescent="0.35">
      <c r="A18" s="34" t="s">
        <v>18</v>
      </c>
      <c r="B18" s="34"/>
      <c r="C18" s="34"/>
    </row>
    <row r="19" spans="1:3" ht="31.5" customHeight="1" x14ac:dyDescent="0.35">
      <c r="A19" s="34" t="s">
        <v>19</v>
      </c>
      <c r="B19" s="34"/>
      <c r="C19" s="34"/>
    </row>
    <row r="21" spans="1:3" x14ac:dyDescent="0.35">
      <c r="A21" s="2" t="s">
        <v>20</v>
      </c>
    </row>
  </sheetData>
  <mergeCells count="5">
    <mergeCell ref="A15:C15"/>
    <mergeCell ref="A16:C16"/>
    <mergeCell ref="A17:C17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tabSelected="1" zoomScale="90" zoomScaleNormal="90" workbookViewId="0">
      <pane xSplit="2" ySplit="3" topLeftCell="C10" activePane="bottomRight" state="frozen"/>
      <selection pane="topRight" activeCell="C1" sqref="C1"/>
      <selection pane="bottomLeft" activeCell="A5" sqref="A5"/>
      <selection pane="bottomRight" activeCell="N11" sqref="A3:S16"/>
    </sheetView>
  </sheetViews>
  <sheetFormatPr defaultColWidth="8.6328125" defaultRowHeight="14.5" x14ac:dyDescent="0.35"/>
  <cols>
    <col min="1" max="1" width="6" customWidth="1"/>
    <col min="2" max="2" width="10" customWidth="1"/>
    <col min="3" max="3" width="22" customWidth="1"/>
    <col min="4" max="4" width="9" customWidth="1"/>
    <col min="5" max="5" width="10" customWidth="1"/>
    <col min="6" max="6" width="8" customWidth="1"/>
    <col min="7" max="9" width="13" customWidth="1"/>
    <col min="10" max="10" width="10" customWidth="1"/>
    <col min="11" max="11" width="9" customWidth="1"/>
    <col min="12" max="12" width="10" customWidth="1"/>
    <col min="13" max="13" width="14.81640625" customWidth="1"/>
    <col min="14" max="14" width="12" customWidth="1"/>
    <col min="15" max="18" width="14" customWidth="1"/>
    <col min="19" max="19" width="26" customWidth="1"/>
  </cols>
  <sheetData>
    <row r="1" spans="1:19" ht="20" x14ac:dyDescent="0.4">
      <c r="A1" s="1" t="s">
        <v>21</v>
      </c>
    </row>
    <row r="3" spans="1:19" ht="42" customHeight="1" x14ac:dyDescent="0.35">
      <c r="A3" s="10" t="s">
        <v>22</v>
      </c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0" t="s">
        <v>29</v>
      </c>
      <c r="I3" s="10" t="s">
        <v>30</v>
      </c>
      <c r="J3" s="10" t="s">
        <v>31</v>
      </c>
      <c r="K3" s="10" t="s">
        <v>32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37</v>
      </c>
      <c r="Q3" s="10" t="s">
        <v>38</v>
      </c>
      <c r="R3" s="10" t="s">
        <v>39</v>
      </c>
      <c r="S3" s="10" t="s">
        <v>40</v>
      </c>
    </row>
    <row r="4" spans="1:19" ht="78" customHeight="1" x14ac:dyDescent="0.35">
      <c r="A4" s="11">
        <v>1</v>
      </c>
      <c r="B4" s="12" t="s">
        <v>41</v>
      </c>
      <c r="C4" s="13" t="s">
        <v>42</v>
      </c>
      <c r="D4" s="14" t="s">
        <v>43</v>
      </c>
      <c r="E4" s="15">
        <v>70</v>
      </c>
      <c r="F4" s="16">
        <v>143</v>
      </c>
      <c r="G4" s="17">
        <v>70953.97</v>
      </c>
      <c r="H4" s="17">
        <v>1294.3533</v>
      </c>
      <c r="I4" s="17">
        <v>605.23450000000003</v>
      </c>
      <c r="J4" s="18">
        <f t="shared" ref="J4:J15" si="0">IFERROR(H4/I4,"")</f>
        <v>2.1385980144885988</v>
      </c>
      <c r="K4" s="19">
        <v>1.4E-2</v>
      </c>
      <c r="L4" s="19">
        <v>3.3300000000000003E-2</v>
      </c>
      <c r="M4" s="20">
        <f>COUNTIF('Early Claims'!$A:$A,B4)</f>
        <v>30</v>
      </c>
      <c r="N4" s="20">
        <f>COUNTIF(Duplicates!$A:$A,B4)</f>
        <v>0</v>
      </c>
      <c r="O4" s="21">
        <f>SUMIFS('Early Claims'!$H:$H,'Early Claims'!$A:$A,B4)</f>
        <v>15426.979999999998</v>
      </c>
      <c r="P4" s="17">
        <v>25141.7</v>
      </c>
      <c r="Q4" s="21">
        <f>SUMIFS(Duplicates!$G:$G,Duplicates!$A:$A,B4,Duplicates!$K:$K,1)</f>
        <v>0</v>
      </c>
      <c r="R4" s="21">
        <f t="shared" ref="R4:R15" si="1">O4+P4+Q4</f>
        <v>40568.68</v>
      </c>
      <c r="S4" s="13" t="s">
        <v>44</v>
      </c>
    </row>
    <row r="5" spans="1:19" ht="78" customHeight="1" x14ac:dyDescent="0.35">
      <c r="A5" s="11">
        <v>2</v>
      </c>
      <c r="B5" s="12" t="s">
        <v>45</v>
      </c>
      <c r="C5" s="13" t="s">
        <v>46</v>
      </c>
      <c r="D5" s="14" t="s">
        <v>43</v>
      </c>
      <c r="E5" s="15">
        <v>42.1</v>
      </c>
      <c r="F5" s="16">
        <v>76</v>
      </c>
      <c r="G5" s="17">
        <v>7134.68</v>
      </c>
      <c r="H5" s="17">
        <v>2222.3692000000001</v>
      </c>
      <c r="I5" s="17">
        <v>837.72140000000002</v>
      </c>
      <c r="J5" s="18">
        <f t="shared" si="0"/>
        <v>2.6528738551981603</v>
      </c>
      <c r="K5" s="19">
        <v>0.56579999999999997</v>
      </c>
      <c r="L5" s="19">
        <v>9.35E-2</v>
      </c>
      <c r="M5" s="20">
        <f>COUNTIF('Early Claims'!$A:$A,B5)</f>
        <v>0</v>
      </c>
      <c r="N5" s="20">
        <f>COUNTIF(Duplicates!$A:$A,B5)</f>
        <v>0</v>
      </c>
      <c r="O5" s="21">
        <f>SUMIFS('Early Claims'!$H:$H,'Early Claims'!$A:$A,B5)</f>
        <v>0</v>
      </c>
      <c r="P5" s="17">
        <v>0</v>
      </c>
      <c r="Q5" s="21">
        <f>SUMIFS(Duplicates!$G:$G,Duplicates!$A:$A,B5,Duplicates!$K:$K,1)</f>
        <v>0</v>
      </c>
      <c r="R5" s="21">
        <f t="shared" si="1"/>
        <v>0</v>
      </c>
      <c r="S5" s="13" t="s">
        <v>47</v>
      </c>
    </row>
    <row r="6" spans="1:19" ht="78" customHeight="1" x14ac:dyDescent="0.35">
      <c r="A6" s="11">
        <v>3</v>
      </c>
      <c r="B6" s="12" t="s">
        <v>48</v>
      </c>
      <c r="C6" s="13" t="s">
        <v>42</v>
      </c>
      <c r="D6" s="22" t="s">
        <v>49</v>
      </c>
      <c r="E6" s="15">
        <v>36.9</v>
      </c>
      <c r="F6" s="16">
        <v>33</v>
      </c>
      <c r="G6" s="17">
        <v>1287.96</v>
      </c>
      <c r="H6" s="17">
        <v>936.53700000000003</v>
      </c>
      <c r="I6" s="17">
        <v>605.23450000000003</v>
      </c>
      <c r="J6" s="18">
        <f t="shared" si="0"/>
        <v>1.547395265801933</v>
      </c>
      <c r="K6" s="19">
        <v>0.69699999999999995</v>
      </c>
      <c r="L6" s="19">
        <v>3.3300000000000003E-2</v>
      </c>
      <c r="M6" s="20">
        <f>COUNTIF('Early Claims'!$A:$A,B6)</f>
        <v>0</v>
      </c>
      <c r="N6" s="20">
        <f>COUNTIF(Duplicates!$A:$A,B6)</f>
        <v>0</v>
      </c>
      <c r="O6" s="21">
        <f>SUMIFS('Early Claims'!$H:$H,'Early Claims'!$A:$A,B6)</f>
        <v>0</v>
      </c>
      <c r="P6" s="17">
        <v>0</v>
      </c>
      <c r="Q6" s="21">
        <f>SUMIFS(Duplicates!$G:$G,Duplicates!$A:$A,B6,Duplicates!$K:$K,1)</f>
        <v>0</v>
      </c>
      <c r="R6" s="21">
        <f t="shared" si="1"/>
        <v>0</v>
      </c>
      <c r="S6" s="13" t="s">
        <v>50</v>
      </c>
    </row>
    <row r="7" spans="1:19" ht="78" customHeight="1" x14ac:dyDescent="0.35">
      <c r="A7" s="11">
        <v>4</v>
      </c>
      <c r="B7" s="12" t="s">
        <v>51</v>
      </c>
      <c r="C7" s="13" t="s">
        <v>42</v>
      </c>
      <c r="D7" s="22" t="s">
        <v>49</v>
      </c>
      <c r="E7" s="15">
        <v>30.3</v>
      </c>
      <c r="F7" s="16">
        <v>24</v>
      </c>
      <c r="G7" s="17">
        <v>1878.31</v>
      </c>
      <c r="H7" s="17">
        <v>1138.94</v>
      </c>
      <c r="I7" s="17">
        <v>605.23450000000003</v>
      </c>
      <c r="J7" s="18">
        <f t="shared" si="0"/>
        <v>1.8818160564211062</v>
      </c>
      <c r="K7" s="19">
        <v>0.58330000000000004</v>
      </c>
      <c r="L7" s="19">
        <v>3.3300000000000003E-2</v>
      </c>
      <c r="M7" s="20">
        <f>COUNTIF('Early Claims'!$A:$A,B7)</f>
        <v>0</v>
      </c>
      <c r="N7" s="20">
        <f>COUNTIF(Duplicates!$A:$A,B7)</f>
        <v>0</v>
      </c>
      <c r="O7" s="21">
        <f>SUMIFS('Early Claims'!$H:$H,'Early Claims'!$A:$A,B7)</f>
        <v>0</v>
      </c>
      <c r="P7" s="17">
        <v>0</v>
      </c>
      <c r="Q7" s="21">
        <f>SUMIFS(Duplicates!$G:$G,Duplicates!$A:$A,B7,Duplicates!$K:$K,1)</f>
        <v>0</v>
      </c>
      <c r="R7" s="21">
        <f t="shared" si="1"/>
        <v>0</v>
      </c>
      <c r="S7" s="13" t="s">
        <v>52</v>
      </c>
    </row>
    <row r="8" spans="1:19" ht="78" customHeight="1" x14ac:dyDescent="0.35">
      <c r="A8" s="11">
        <v>5</v>
      </c>
      <c r="B8" s="12" t="s">
        <v>53</v>
      </c>
      <c r="C8" s="13" t="s">
        <v>42</v>
      </c>
      <c r="D8" s="22" t="s">
        <v>49</v>
      </c>
      <c r="E8" s="15">
        <v>27.6</v>
      </c>
      <c r="F8" s="16">
        <v>54</v>
      </c>
      <c r="G8" s="17">
        <v>4340.1899999999996</v>
      </c>
      <c r="H8" s="17">
        <v>1132.7061000000001</v>
      </c>
      <c r="I8" s="17">
        <v>605.23450000000003</v>
      </c>
      <c r="J8" s="18">
        <f t="shared" si="0"/>
        <v>1.8715160817831766</v>
      </c>
      <c r="K8" s="19">
        <v>0.46300000000000002</v>
      </c>
      <c r="L8" s="19">
        <v>3.3300000000000003E-2</v>
      </c>
      <c r="M8" s="20">
        <f>COUNTIF('Early Claims'!$A:$A,B8)</f>
        <v>0</v>
      </c>
      <c r="N8" s="20">
        <f>COUNTIF(Duplicates!$A:$A,B8)</f>
        <v>0</v>
      </c>
      <c r="O8" s="21">
        <f>SUMIFS('Early Claims'!$H:$H,'Early Claims'!$A:$A,B8)</f>
        <v>0</v>
      </c>
      <c r="P8" s="17">
        <v>0</v>
      </c>
      <c r="Q8" s="21">
        <f>SUMIFS(Duplicates!$G:$G,Duplicates!$A:$A,B8,Duplicates!$K:$K,1)</f>
        <v>0</v>
      </c>
      <c r="R8" s="21">
        <f t="shared" si="1"/>
        <v>0</v>
      </c>
      <c r="S8" s="13" t="s">
        <v>54</v>
      </c>
    </row>
    <row r="9" spans="1:19" ht="78" customHeight="1" x14ac:dyDescent="0.35">
      <c r="A9" s="11">
        <v>6</v>
      </c>
      <c r="B9" s="12" t="s">
        <v>55</v>
      </c>
      <c r="C9" s="13" t="s">
        <v>56</v>
      </c>
      <c r="D9" s="22" t="s">
        <v>49</v>
      </c>
      <c r="E9" s="15">
        <v>22.4</v>
      </c>
      <c r="F9" s="16">
        <v>107</v>
      </c>
      <c r="G9" s="17">
        <v>2050.9899999999998</v>
      </c>
      <c r="H9" s="17">
        <v>234.5367</v>
      </c>
      <c r="I9" s="17">
        <v>181.94579999999999</v>
      </c>
      <c r="J9" s="18">
        <f t="shared" si="0"/>
        <v>1.289047067863067</v>
      </c>
      <c r="K9" s="19">
        <v>0.47660000000000002</v>
      </c>
      <c r="L9" s="19">
        <v>3.7449999999999997E-2</v>
      </c>
      <c r="M9" s="20">
        <f>COUNTIF('Early Claims'!$A:$A,B9)</f>
        <v>0</v>
      </c>
      <c r="N9" s="20">
        <f>COUNTIF(Duplicates!$A:$A,B9)</f>
        <v>0</v>
      </c>
      <c r="O9" s="21">
        <f>SUMIFS('Early Claims'!$H:$H,'Early Claims'!$A:$A,B9)</f>
        <v>0</v>
      </c>
      <c r="P9" s="17">
        <v>0</v>
      </c>
      <c r="Q9" s="21">
        <f>SUMIFS(Duplicates!$G:$G,Duplicates!$A:$A,B9,Duplicates!$K:$K,1)</f>
        <v>0</v>
      </c>
      <c r="R9" s="21">
        <f t="shared" si="1"/>
        <v>0</v>
      </c>
      <c r="S9" s="13" t="s">
        <v>57</v>
      </c>
    </row>
    <row r="10" spans="1:19" ht="78" customHeight="1" x14ac:dyDescent="0.35">
      <c r="A10" s="11">
        <v>7</v>
      </c>
      <c r="B10" s="12" t="s">
        <v>58</v>
      </c>
      <c r="C10" s="13" t="s">
        <v>42</v>
      </c>
      <c r="D10" s="22" t="s">
        <v>49</v>
      </c>
      <c r="E10" s="15">
        <v>20.3</v>
      </c>
      <c r="F10" s="16">
        <v>162</v>
      </c>
      <c r="G10" s="17">
        <v>34808.15</v>
      </c>
      <c r="H10" s="17">
        <v>581.02959999999996</v>
      </c>
      <c r="I10" s="17">
        <v>605.23450000000003</v>
      </c>
      <c r="J10" s="18">
        <f t="shared" si="0"/>
        <v>0.96000740208960322</v>
      </c>
      <c r="K10" s="19">
        <v>8.0199999999999994E-2</v>
      </c>
      <c r="L10" s="19">
        <v>3.3300000000000003E-2</v>
      </c>
      <c r="M10" s="20">
        <f>COUNTIF('Early Claims'!$A:$A,B10)</f>
        <v>0</v>
      </c>
      <c r="N10" s="20">
        <f>COUNTIF(Duplicates!$A:$A,B10)</f>
        <v>22</v>
      </c>
      <c r="O10" s="21">
        <f>SUMIFS('Early Claims'!$H:$H,'Early Claims'!$A:$A,B10)</f>
        <v>0</v>
      </c>
      <c r="P10" s="17">
        <v>0</v>
      </c>
      <c r="Q10" s="21">
        <f>SUMIFS(Duplicates!$G:$G,Duplicates!$A:$A,B10,Duplicates!$K:$K,1)</f>
        <v>1621.65</v>
      </c>
      <c r="R10" s="21">
        <f t="shared" si="1"/>
        <v>1621.65</v>
      </c>
      <c r="S10" s="13" t="s">
        <v>59</v>
      </c>
    </row>
    <row r="11" spans="1:19" ht="78" customHeight="1" x14ac:dyDescent="0.35">
      <c r="A11" s="11">
        <v>8</v>
      </c>
      <c r="B11" s="12" t="s">
        <v>60</v>
      </c>
      <c r="C11" s="13" t="s">
        <v>42</v>
      </c>
      <c r="D11" s="22" t="s">
        <v>49</v>
      </c>
      <c r="E11" s="15">
        <v>20.3</v>
      </c>
      <c r="F11" s="16">
        <v>29</v>
      </c>
      <c r="G11" s="17">
        <v>570.84</v>
      </c>
      <c r="H11" s="17">
        <v>770.87660000000005</v>
      </c>
      <c r="I11" s="17">
        <v>605.23450000000003</v>
      </c>
      <c r="J11" s="18">
        <f t="shared" si="0"/>
        <v>1.2736825147938526</v>
      </c>
      <c r="K11" s="19">
        <v>0.75860000000000005</v>
      </c>
      <c r="L11" s="19">
        <v>3.3300000000000003E-2</v>
      </c>
      <c r="M11" s="20">
        <f>COUNTIF('Early Claims'!$A:$A,B11)</f>
        <v>0</v>
      </c>
      <c r="N11" s="20">
        <f>COUNTIF(Duplicates!$A:$A,B11)</f>
        <v>0</v>
      </c>
      <c r="O11" s="21">
        <f>SUMIFS('Early Claims'!$H:$H,'Early Claims'!$A:$A,B11)</f>
        <v>0</v>
      </c>
      <c r="P11" s="17">
        <v>0</v>
      </c>
      <c r="Q11" s="21">
        <f>SUMIFS(Duplicates!$G:$G,Duplicates!$A:$A,B11,Duplicates!$K:$K,1)</f>
        <v>0</v>
      </c>
      <c r="R11" s="21">
        <f t="shared" si="1"/>
        <v>0</v>
      </c>
      <c r="S11" s="13" t="s">
        <v>50</v>
      </c>
    </row>
    <row r="12" spans="1:19" ht="78" customHeight="1" x14ac:dyDescent="0.35">
      <c r="A12" s="11">
        <v>9</v>
      </c>
      <c r="B12" s="12" t="s">
        <v>61</v>
      </c>
      <c r="C12" s="13" t="s">
        <v>42</v>
      </c>
      <c r="D12" s="23" t="s">
        <v>62</v>
      </c>
      <c r="E12" s="15">
        <v>18.3</v>
      </c>
      <c r="F12" s="16">
        <v>78</v>
      </c>
      <c r="G12" s="17">
        <v>5441.31</v>
      </c>
      <c r="H12" s="17">
        <v>823.82449999999994</v>
      </c>
      <c r="I12" s="17">
        <v>605.23450000000003</v>
      </c>
      <c r="J12" s="18">
        <f t="shared" si="0"/>
        <v>1.3611657960674746</v>
      </c>
      <c r="K12" s="19">
        <v>0.62819999999999998</v>
      </c>
      <c r="L12" s="19">
        <v>3.3300000000000003E-2</v>
      </c>
      <c r="M12" s="20">
        <f>COUNTIF('Early Claims'!$A:$A,B12)</f>
        <v>0</v>
      </c>
      <c r="N12" s="20">
        <f>COUNTIF(Duplicates!$A:$A,B12)</f>
        <v>0</v>
      </c>
      <c r="O12" s="21">
        <f>SUMIFS('Early Claims'!$H:$H,'Early Claims'!$A:$A,B12)</f>
        <v>0</v>
      </c>
      <c r="P12" s="17">
        <v>0</v>
      </c>
      <c r="Q12" s="21">
        <f>SUMIFS(Duplicates!$G:$G,Duplicates!$A:$A,B12,Duplicates!$K:$K,1)</f>
        <v>0</v>
      </c>
      <c r="R12" s="21">
        <f t="shared" si="1"/>
        <v>0</v>
      </c>
      <c r="S12" s="13" t="s">
        <v>50</v>
      </c>
    </row>
    <row r="13" spans="1:19" ht="78" customHeight="1" x14ac:dyDescent="0.35">
      <c r="A13" s="11">
        <v>10</v>
      </c>
      <c r="B13" s="12" t="s">
        <v>63</v>
      </c>
      <c r="C13" s="13" t="s">
        <v>42</v>
      </c>
      <c r="D13" s="23" t="s">
        <v>62</v>
      </c>
      <c r="E13" s="15">
        <v>16.100000000000001</v>
      </c>
      <c r="F13" s="16">
        <v>70</v>
      </c>
      <c r="G13" s="17">
        <v>4716.51</v>
      </c>
      <c r="H13" s="17">
        <v>815.20699999999999</v>
      </c>
      <c r="I13" s="17">
        <v>605.23450000000003</v>
      </c>
      <c r="J13" s="18">
        <f t="shared" si="0"/>
        <v>1.3469275132200824</v>
      </c>
      <c r="K13" s="19">
        <v>0.55710000000000004</v>
      </c>
      <c r="L13" s="19">
        <v>3.3300000000000003E-2</v>
      </c>
      <c r="M13" s="20">
        <f>COUNTIF('Early Claims'!$A:$A,B13)</f>
        <v>0</v>
      </c>
      <c r="N13" s="20">
        <f>COUNTIF(Duplicates!$A:$A,B13)</f>
        <v>0</v>
      </c>
      <c r="O13" s="21">
        <f>SUMIFS('Early Claims'!$H:$H,'Early Claims'!$A:$A,B13)</f>
        <v>0</v>
      </c>
      <c r="P13" s="17">
        <v>0</v>
      </c>
      <c r="Q13" s="21">
        <f>SUMIFS(Duplicates!$G:$G,Duplicates!$A:$A,B13,Duplicates!$K:$K,1)</f>
        <v>0</v>
      </c>
      <c r="R13" s="21">
        <f t="shared" si="1"/>
        <v>0</v>
      </c>
      <c r="S13" s="13" t="s">
        <v>50</v>
      </c>
    </row>
    <row r="14" spans="1:19" ht="78" customHeight="1" x14ac:dyDescent="0.35">
      <c r="A14" s="11">
        <v>11</v>
      </c>
      <c r="B14" s="12" t="s">
        <v>64</v>
      </c>
      <c r="C14" s="13" t="s">
        <v>42</v>
      </c>
      <c r="D14" s="23" t="s">
        <v>62</v>
      </c>
      <c r="E14" s="15">
        <v>15</v>
      </c>
      <c r="F14" s="16">
        <v>55</v>
      </c>
      <c r="G14" s="17">
        <v>3775.21</v>
      </c>
      <c r="H14" s="17">
        <v>739.41250000000002</v>
      </c>
      <c r="I14" s="17">
        <v>605.23450000000003</v>
      </c>
      <c r="J14" s="18">
        <f t="shared" si="0"/>
        <v>1.2216958881227029</v>
      </c>
      <c r="K14" s="19">
        <v>0.6</v>
      </c>
      <c r="L14" s="19">
        <v>3.3300000000000003E-2</v>
      </c>
      <c r="M14" s="20">
        <f>COUNTIF('Early Claims'!$A:$A,B14)</f>
        <v>0</v>
      </c>
      <c r="N14" s="20">
        <f>COUNTIF(Duplicates!$A:$A,B14)</f>
        <v>0</v>
      </c>
      <c r="O14" s="21">
        <f>SUMIFS('Early Claims'!$H:$H,'Early Claims'!$A:$A,B14)</f>
        <v>0</v>
      </c>
      <c r="P14" s="17">
        <v>0</v>
      </c>
      <c r="Q14" s="21">
        <f>SUMIFS(Duplicates!$G:$G,Duplicates!$A:$A,B14,Duplicates!$K:$K,1)</f>
        <v>0</v>
      </c>
      <c r="R14" s="21">
        <f t="shared" si="1"/>
        <v>0</v>
      </c>
      <c r="S14" s="13" t="s">
        <v>50</v>
      </c>
    </row>
    <row r="15" spans="1:19" ht="78" customHeight="1" x14ac:dyDescent="0.35">
      <c r="A15" s="11">
        <v>12</v>
      </c>
      <c r="B15" s="12" t="s">
        <v>65</v>
      </c>
      <c r="C15" s="13" t="s">
        <v>42</v>
      </c>
      <c r="D15" s="23" t="s">
        <v>62</v>
      </c>
      <c r="E15" s="15">
        <v>13.2</v>
      </c>
      <c r="F15" s="16">
        <v>85</v>
      </c>
      <c r="G15" s="17">
        <v>4991.4399999999996</v>
      </c>
      <c r="H15" s="17">
        <v>748.96749999999997</v>
      </c>
      <c r="I15" s="17">
        <v>605.23450000000003</v>
      </c>
      <c r="J15" s="18">
        <f t="shared" si="0"/>
        <v>1.2374831573547111</v>
      </c>
      <c r="K15" s="19">
        <v>0.55289999999999995</v>
      </c>
      <c r="L15" s="19">
        <v>3.3300000000000003E-2</v>
      </c>
      <c r="M15" s="20">
        <f>COUNTIF('Early Claims'!$A:$A,B15)</f>
        <v>0</v>
      </c>
      <c r="N15" s="20">
        <f>COUNTIF(Duplicates!$A:$A,B15)</f>
        <v>0</v>
      </c>
      <c r="O15" s="21">
        <f>SUMIFS('Early Claims'!$H:$H,'Early Claims'!$A:$A,B15)</f>
        <v>0</v>
      </c>
      <c r="P15" s="17">
        <v>0</v>
      </c>
      <c r="Q15" s="21">
        <f>SUMIFS(Duplicates!$G:$G,Duplicates!$A:$A,B15,Duplicates!$K:$K,1)</f>
        <v>0</v>
      </c>
      <c r="R15" s="21">
        <f t="shared" si="1"/>
        <v>0</v>
      </c>
      <c r="S15" s="13" t="s">
        <v>50</v>
      </c>
    </row>
    <row r="16" spans="1:19" x14ac:dyDescent="0.35">
      <c r="A16" s="24" t="s">
        <v>66</v>
      </c>
      <c r="B16" s="25"/>
      <c r="C16" s="25"/>
      <c r="D16" s="25"/>
      <c r="E16" s="25"/>
      <c r="F16" s="26">
        <f>SUM(F4:F15)</f>
        <v>916</v>
      </c>
      <c r="G16" s="27">
        <f>SUM(G4:G15)</f>
        <v>141949.56</v>
      </c>
      <c r="H16" s="25"/>
      <c r="I16" s="25"/>
      <c r="J16" s="25"/>
      <c r="K16" s="25"/>
      <c r="L16" s="25"/>
      <c r="M16" s="26">
        <f t="shared" ref="M16:R16" si="2">SUM(M4:M15)</f>
        <v>30</v>
      </c>
      <c r="N16" s="26">
        <f t="shared" si="2"/>
        <v>22</v>
      </c>
      <c r="O16" s="27">
        <f t="shared" si="2"/>
        <v>15426.979999999998</v>
      </c>
      <c r="P16" s="27">
        <f t="shared" si="2"/>
        <v>25141.7</v>
      </c>
      <c r="Q16" s="27">
        <f t="shared" si="2"/>
        <v>1621.65</v>
      </c>
      <c r="R16" s="27">
        <f t="shared" si="2"/>
        <v>42190.33</v>
      </c>
      <c r="S16" s="25"/>
    </row>
    <row r="18" spans="1:1" x14ac:dyDescent="0.35">
      <c r="A18" s="2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zoomScaleNormal="100" workbookViewId="0">
      <pane ySplit="4" topLeftCell="A5" activePane="bottomLeft" state="frozen"/>
      <selection pane="bottomLeft" activeCell="A4" sqref="A4"/>
    </sheetView>
  </sheetViews>
  <sheetFormatPr defaultColWidth="8.6328125" defaultRowHeight="14.5" x14ac:dyDescent="0.35"/>
  <cols>
    <col min="1" max="1" width="11" customWidth="1"/>
    <col min="2" max="2" width="14" customWidth="1"/>
    <col min="3" max="3" width="12" customWidth="1"/>
    <col min="4" max="5" width="13" customWidth="1"/>
    <col min="6" max="6" width="16" customWidth="1"/>
    <col min="7" max="8" width="13" customWidth="1"/>
    <col min="9" max="9" width="11" customWidth="1"/>
  </cols>
  <sheetData>
    <row r="1" spans="1:9" ht="20" x14ac:dyDescent="0.4">
      <c r="A1" s="1" t="s">
        <v>68</v>
      </c>
    </row>
    <row r="2" spans="1:9" x14ac:dyDescent="0.35">
      <c r="A2" s="2" t="s">
        <v>69</v>
      </c>
    </row>
    <row r="4" spans="1:9" ht="42" customHeight="1" x14ac:dyDescent="0.35">
      <c r="A4" s="10" t="s">
        <v>23</v>
      </c>
      <c r="B4" s="10" t="s">
        <v>70</v>
      </c>
      <c r="C4" s="10" t="s">
        <v>71</v>
      </c>
      <c r="D4" s="10" t="s">
        <v>72</v>
      </c>
      <c r="E4" s="10" t="s">
        <v>73</v>
      </c>
      <c r="F4" s="10" t="s">
        <v>74</v>
      </c>
      <c r="G4" s="10" t="s">
        <v>75</v>
      </c>
      <c r="H4" s="10" t="s">
        <v>76</v>
      </c>
      <c r="I4" s="10" t="s">
        <v>77</v>
      </c>
    </row>
    <row r="5" spans="1:9" x14ac:dyDescent="0.35">
      <c r="A5" s="4" t="s">
        <v>41</v>
      </c>
      <c r="B5" s="4" t="s">
        <v>78</v>
      </c>
      <c r="C5" s="4" t="s">
        <v>79</v>
      </c>
      <c r="D5" s="28">
        <v>46005</v>
      </c>
      <c r="E5" s="28">
        <v>46000</v>
      </c>
      <c r="F5" s="5">
        <f t="shared" ref="F5:F34" si="0">D5-E5</f>
        <v>5</v>
      </c>
      <c r="G5" s="8">
        <v>1909.67</v>
      </c>
      <c r="H5" s="8">
        <v>671.7</v>
      </c>
      <c r="I5" s="4" t="s">
        <v>80</v>
      </c>
    </row>
    <row r="6" spans="1:9" x14ac:dyDescent="0.35">
      <c r="A6" s="4" t="s">
        <v>41</v>
      </c>
      <c r="B6" s="4" t="s">
        <v>81</v>
      </c>
      <c r="C6" s="4" t="s">
        <v>82</v>
      </c>
      <c r="D6" s="28">
        <v>46012</v>
      </c>
      <c r="E6" s="28">
        <v>46011</v>
      </c>
      <c r="F6" s="5">
        <f t="shared" si="0"/>
        <v>1</v>
      </c>
      <c r="G6" s="8">
        <v>1337.58</v>
      </c>
      <c r="H6" s="8">
        <v>631.73</v>
      </c>
      <c r="I6" s="4" t="s">
        <v>80</v>
      </c>
    </row>
    <row r="7" spans="1:9" x14ac:dyDescent="0.35">
      <c r="A7" s="4" t="s">
        <v>41</v>
      </c>
      <c r="B7" s="4" t="s">
        <v>83</v>
      </c>
      <c r="C7" s="4" t="s">
        <v>84</v>
      </c>
      <c r="D7" s="28">
        <v>46019</v>
      </c>
      <c r="E7" s="28">
        <v>46016</v>
      </c>
      <c r="F7" s="5">
        <f t="shared" si="0"/>
        <v>3</v>
      </c>
      <c r="G7" s="8">
        <v>1466.26</v>
      </c>
      <c r="H7" s="8">
        <v>457.36</v>
      </c>
      <c r="I7" s="4" t="s">
        <v>80</v>
      </c>
    </row>
    <row r="8" spans="1:9" x14ac:dyDescent="0.35">
      <c r="A8" s="4" t="s">
        <v>41</v>
      </c>
      <c r="B8" s="4" t="s">
        <v>85</v>
      </c>
      <c r="C8" s="4" t="s">
        <v>86</v>
      </c>
      <c r="D8" s="28">
        <v>46026</v>
      </c>
      <c r="E8" s="28">
        <v>46022</v>
      </c>
      <c r="F8" s="5">
        <f t="shared" si="0"/>
        <v>4</v>
      </c>
      <c r="G8" s="8">
        <v>1949.49</v>
      </c>
      <c r="H8" s="8">
        <v>787.86</v>
      </c>
      <c r="I8" s="4" t="s">
        <v>80</v>
      </c>
    </row>
    <row r="9" spans="1:9" x14ac:dyDescent="0.35">
      <c r="A9" s="4" t="s">
        <v>41</v>
      </c>
      <c r="B9" s="4" t="s">
        <v>87</v>
      </c>
      <c r="C9" s="4" t="s">
        <v>88</v>
      </c>
      <c r="D9" s="28">
        <v>46026</v>
      </c>
      <c r="E9" s="28">
        <v>46025</v>
      </c>
      <c r="F9" s="5">
        <f t="shared" si="0"/>
        <v>1</v>
      </c>
      <c r="G9" s="8">
        <v>1602.55</v>
      </c>
      <c r="H9" s="8">
        <v>0</v>
      </c>
      <c r="I9" s="4" t="s">
        <v>89</v>
      </c>
    </row>
    <row r="10" spans="1:9" x14ac:dyDescent="0.35">
      <c r="A10" s="4" t="s">
        <v>41</v>
      </c>
      <c r="B10" s="4" t="s">
        <v>90</v>
      </c>
      <c r="C10" s="4" t="s">
        <v>91</v>
      </c>
      <c r="D10" s="28">
        <v>46033</v>
      </c>
      <c r="E10" s="28">
        <v>46029</v>
      </c>
      <c r="F10" s="5">
        <f t="shared" si="0"/>
        <v>4</v>
      </c>
      <c r="G10" s="8">
        <v>1541.36</v>
      </c>
      <c r="H10" s="8">
        <v>777.81</v>
      </c>
      <c r="I10" s="4" t="s">
        <v>80</v>
      </c>
    </row>
    <row r="11" spans="1:9" x14ac:dyDescent="0.35">
      <c r="A11" s="4" t="s">
        <v>41</v>
      </c>
      <c r="B11" s="4" t="s">
        <v>92</v>
      </c>
      <c r="C11" s="4" t="s">
        <v>93</v>
      </c>
      <c r="D11" s="28">
        <v>46033</v>
      </c>
      <c r="E11" s="28">
        <v>46030</v>
      </c>
      <c r="F11" s="5">
        <f t="shared" si="0"/>
        <v>3</v>
      </c>
      <c r="G11" s="8">
        <v>1428.55</v>
      </c>
      <c r="H11" s="8">
        <v>590.79</v>
      </c>
      <c r="I11" s="4" t="s">
        <v>80</v>
      </c>
    </row>
    <row r="12" spans="1:9" x14ac:dyDescent="0.35">
      <c r="A12" s="4" t="s">
        <v>41</v>
      </c>
      <c r="B12" s="4" t="s">
        <v>94</v>
      </c>
      <c r="C12" s="4" t="s">
        <v>95</v>
      </c>
      <c r="D12" s="28">
        <v>46033</v>
      </c>
      <c r="E12" s="28">
        <v>46031</v>
      </c>
      <c r="F12" s="5">
        <f t="shared" si="0"/>
        <v>2</v>
      </c>
      <c r="G12" s="8">
        <v>1000.89</v>
      </c>
      <c r="H12" s="8">
        <v>394.75</v>
      </c>
      <c r="I12" s="4" t="s">
        <v>80</v>
      </c>
    </row>
    <row r="13" spans="1:9" x14ac:dyDescent="0.35">
      <c r="A13" s="4" t="s">
        <v>41</v>
      </c>
      <c r="B13" s="4" t="s">
        <v>96</v>
      </c>
      <c r="C13" s="4" t="s">
        <v>97</v>
      </c>
      <c r="D13" s="28">
        <v>46033</v>
      </c>
      <c r="E13" s="28">
        <v>46032</v>
      </c>
      <c r="F13" s="5">
        <f t="shared" si="0"/>
        <v>1</v>
      </c>
      <c r="G13" s="8">
        <v>1428.13</v>
      </c>
      <c r="H13" s="8">
        <v>650.47</v>
      </c>
      <c r="I13" s="4" t="s">
        <v>80</v>
      </c>
    </row>
    <row r="14" spans="1:9" x14ac:dyDescent="0.35">
      <c r="A14" s="4" t="s">
        <v>41</v>
      </c>
      <c r="B14" s="4" t="s">
        <v>98</v>
      </c>
      <c r="C14" s="4" t="s">
        <v>99</v>
      </c>
      <c r="D14" s="28">
        <v>46033</v>
      </c>
      <c r="E14" s="28">
        <v>46032</v>
      </c>
      <c r="F14" s="5">
        <f t="shared" si="0"/>
        <v>1</v>
      </c>
      <c r="G14" s="8">
        <v>1653.48</v>
      </c>
      <c r="H14" s="8">
        <v>774.4</v>
      </c>
      <c r="I14" s="4" t="s">
        <v>80</v>
      </c>
    </row>
    <row r="15" spans="1:9" x14ac:dyDescent="0.35">
      <c r="A15" s="4" t="s">
        <v>41</v>
      </c>
      <c r="B15" s="4" t="s">
        <v>100</v>
      </c>
      <c r="C15" s="4" t="s">
        <v>101</v>
      </c>
      <c r="D15" s="28">
        <v>46040</v>
      </c>
      <c r="E15" s="28">
        <v>46036</v>
      </c>
      <c r="F15" s="5">
        <f t="shared" si="0"/>
        <v>4</v>
      </c>
      <c r="G15" s="8">
        <v>1520.09</v>
      </c>
      <c r="H15" s="8">
        <v>553.78</v>
      </c>
      <c r="I15" s="4" t="s">
        <v>80</v>
      </c>
    </row>
    <row r="16" spans="1:9" x14ac:dyDescent="0.35">
      <c r="A16" s="4" t="s">
        <v>41</v>
      </c>
      <c r="B16" s="4" t="s">
        <v>102</v>
      </c>
      <c r="C16" s="4" t="s">
        <v>103</v>
      </c>
      <c r="D16" s="28">
        <v>46040</v>
      </c>
      <c r="E16" s="28">
        <v>46039</v>
      </c>
      <c r="F16" s="5">
        <f t="shared" si="0"/>
        <v>1</v>
      </c>
      <c r="G16" s="8">
        <v>1550.03</v>
      </c>
      <c r="H16" s="8">
        <v>482.75</v>
      </c>
      <c r="I16" s="4" t="s">
        <v>80</v>
      </c>
    </row>
    <row r="17" spans="1:9" x14ac:dyDescent="0.35">
      <c r="A17" s="4" t="s">
        <v>41</v>
      </c>
      <c r="B17" s="4" t="s">
        <v>104</v>
      </c>
      <c r="C17" s="4" t="s">
        <v>105</v>
      </c>
      <c r="D17" s="28">
        <v>46040</v>
      </c>
      <c r="E17" s="28">
        <v>46039</v>
      </c>
      <c r="F17" s="5">
        <f t="shared" si="0"/>
        <v>1</v>
      </c>
      <c r="G17" s="8">
        <v>832.19</v>
      </c>
      <c r="H17" s="8">
        <v>486.86</v>
      </c>
      <c r="I17" s="4" t="s">
        <v>80</v>
      </c>
    </row>
    <row r="18" spans="1:9" x14ac:dyDescent="0.35">
      <c r="A18" s="4" t="s">
        <v>41</v>
      </c>
      <c r="B18" s="4" t="s">
        <v>106</v>
      </c>
      <c r="C18" s="4" t="s">
        <v>107</v>
      </c>
      <c r="D18" s="28">
        <v>46054</v>
      </c>
      <c r="E18" s="28">
        <v>46050</v>
      </c>
      <c r="F18" s="5">
        <f t="shared" si="0"/>
        <v>4</v>
      </c>
      <c r="G18" s="8">
        <v>1364.42</v>
      </c>
      <c r="H18" s="8">
        <v>499.77</v>
      </c>
      <c r="I18" s="4" t="s">
        <v>80</v>
      </c>
    </row>
    <row r="19" spans="1:9" x14ac:dyDescent="0.35">
      <c r="A19" s="4" t="s">
        <v>41</v>
      </c>
      <c r="B19" s="4" t="s">
        <v>108</v>
      </c>
      <c r="C19" s="4" t="s">
        <v>109</v>
      </c>
      <c r="D19" s="28">
        <v>46061</v>
      </c>
      <c r="E19" s="28">
        <v>46057</v>
      </c>
      <c r="F19" s="5">
        <f t="shared" si="0"/>
        <v>4</v>
      </c>
      <c r="G19" s="8">
        <v>1360.41</v>
      </c>
      <c r="H19" s="8">
        <v>562.66999999999996</v>
      </c>
      <c r="I19" s="4" t="s">
        <v>80</v>
      </c>
    </row>
    <row r="20" spans="1:9" x14ac:dyDescent="0.35">
      <c r="A20" s="4" t="s">
        <v>41</v>
      </c>
      <c r="B20" s="4" t="s">
        <v>110</v>
      </c>
      <c r="C20" s="4" t="s">
        <v>111</v>
      </c>
      <c r="D20" s="28">
        <v>46061</v>
      </c>
      <c r="E20" s="28">
        <v>46058</v>
      </c>
      <c r="F20" s="5">
        <f t="shared" si="0"/>
        <v>3</v>
      </c>
      <c r="G20" s="8">
        <v>1407.01</v>
      </c>
      <c r="H20" s="8">
        <v>506.4</v>
      </c>
      <c r="I20" s="4" t="s">
        <v>80</v>
      </c>
    </row>
    <row r="21" spans="1:9" x14ac:dyDescent="0.35">
      <c r="A21" s="4" t="s">
        <v>41</v>
      </c>
      <c r="B21" s="4" t="s">
        <v>112</v>
      </c>
      <c r="C21" s="4" t="s">
        <v>113</v>
      </c>
      <c r="D21" s="28">
        <v>46061</v>
      </c>
      <c r="E21" s="28">
        <v>46059</v>
      </c>
      <c r="F21" s="5">
        <f t="shared" si="0"/>
        <v>2</v>
      </c>
      <c r="G21" s="8">
        <v>1259.24</v>
      </c>
      <c r="H21" s="8">
        <v>445.5</v>
      </c>
      <c r="I21" s="4" t="s">
        <v>80</v>
      </c>
    </row>
    <row r="22" spans="1:9" x14ac:dyDescent="0.35">
      <c r="A22" s="4" t="s">
        <v>41</v>
      </c>
      <c r="B22" s="4" t="s">
        <v>114</v>
      </c>
      <c r="C22" s="4" t="s">
        <v>115</v>
      </c>
      <c r="D22" s="28">
        <v>46061</v>
      </c>
      <c r="E22" s="28">
        <v>46060</v>
      </c>
      <c r="F22" s="5">
        <f t="shared" si="0"/>
        <v>1</v>
      </c>
      <c r="G22" s="8">
        <v>956.47</v>
      </c>
      <c r="H22" s="8">
        <v>473.04</v>
      </c>
      <c r="I22" s="4" t="s">
        <v>80</v>
      </c>
    </row>
    <row r="23" spans="1:9" x14ac:dyDescent="0.35">
      <c r="A23" s="4" t="s">
        <v>41</v>
      </c>
      <c r="B23" s="4" t="s">
        <v>116</v>
      </c>
      <c r="C23" s="4" t="s">
        <v>117</v>
      </c>
      <c r="D23" s="28">
        <v>46068</v>
      </c>
      <c r="E23" s="28">
        <v>46067</v>
      </c>
      <c r="F23" s="5">
        <f t="shared" si="0"/>
        <v>1</v>
      </c>
      <c r="G23" s="8">
        <v>1544.95</v>
      </c>
      <c r="H23" s="8">
        <v>533.29999999999995</v>
      </c>
      <c r="I23" s="4" t="s">
        <v>80</v>
      </c>
    </row>
    <row r="24" spans="1:9" x14ac:dyDescent="0.35">
      <c r="A24" s="4" t="s">
        <v>41</v>
      </c>
      <c r="B24" s="4" t="s">
        <v>118</v>
      </c>
      <c r="C24" s="4" t="s">
        <v>119</v>
      </c>
      <c r="D24" s="28">
        <v>46075</v>
      </c>
      <c r="E24" s="28">
        <v>46070</v>
      </c>
      <c r="F24" s="5">
        <f t="shared" si="0"/>
        <v>5</v>
      </c>
      <c r="G24" s="8">
        <v>1208.94</v>
      </c>
      <c r="H24" s="8">
        <v>375.25</v>
      </c>
      <c r="I24" s="4" t="s">
        <v>80</v>
      </c>
    </row>
    <row r="25" spans="1:9" x14ac:dyDescent="0.35">
      <c r="A25" s="4" t="s">
        <v>41</v>
      </c>
      <c r="B25" s="4" t="s">
        <v>120</v>
      </c>
      <c r="C25" s="4" t="s">
        <v>121</v>
      </c>
      <c r="D25" s="28">
        <v>46075</v>
      </c>
      <c r="E25" s="28">
        <v>46072</v>
      </c>
      <c r="F25" s="5">
        <f t="shared" si="0"/>
        <v>3</v>
      </c>
      <c r="G25" s="8">
        <v>1507.35</v>
      </c>
      <c r="H25" s="8">
        <v>585.51</v>
      </c>
      <c r="I25" s="4" t="s">
        <v>80</v>
      </c>
    </row>
    <row r="26" spans="1:9" x14ac:dyDescent="0.35">
      <c r="A26" s="4" t="s">
        <v>41</v>
      </c>
      <c r="B26" s="4" t="s">
        <v>122</v>
      </c>
      <c r="C26" s="4" t="s">
        <v>123</v>
      </c>
      <c r="D26" s="28">
        <v>46082</v>
      </c>
      <c r="E26" s="28">
        <v>46077</v>
      </c>
      <c r="F26" s="5">
        <f t="shared" si="0"/>
        <v>5</v>
      </c>
      <c r="G26" s="8">
        <v>1052.99</v>
      </c>
      <c r="H26" s="8">
        <v>528.91999999999996</v>
      </c>
      <c r="I26" s="4" t="s">
        <v>80</v>
      </c>
    </row>
    <row r="27" spans="1:9" x14ac:dyDescent="0.35">
      <c r="A27" s="4" t="s">
        <v>41</v>
      </c>
      <c r="B27" s="4" t="s">
        <v>124</v>
      </c>
      <c r="C27" s="4" t="s">
        <v>125</v>
      </c>
      <c r="D27" s="28">
        <v>46082</v>
      </c>
      <c r="E27" s="28">
        <v>46081</v>
      </c>
      <c r="F27" s="5">
        <f t="shared" si="0"/>
        <v>1</v>
      </c>
      <c r="G27" s="8">
        <v>1080.99</v>
      </c>
      <c r="H27" s="8">
        <v>679.43</v>
      </c>
      <c r="I27" s="4" t="s">
        <v>80</v>
      </c>
    </row>
    <row r="28" spans="1:9" x14ac:dyDescent="0.35">
      <c r="A28" s="4" t="s">
        <v>41</v>
      </c>
      <c r="B28" s="4" t="s">
        <v>126</v>
      </c>
      <c r="C28" s="4" t="s">
        <v>127</v>
      </c>
      <c r="D28" s="28">
        <v>46082</v>
      </c>
      <c r="E28" s="28">
        <v>46081</v>
      </c>
      <c r="F28" s="5">
        <f t="shared" si="0"/>
        <v>1</v>
      </c>
      <c r="G28" s="8">
        <v>1293.3599999999999</v>
      </c>
      <c r="H28" s="8">
        <v>485.12</v>
      </c>
      <c r="I28" s="4" t="s">
        <v>80</v>
      </c>
    </row>
    <row r="29" spans="1:9" x14ac:dyDescent="0.35">
      <c r="A29" s="4" t="s">
        <v>41</v>
      </c>
      <c r="B29" s="4" t="s">
        <v>128</v>
      </c>
      <c r="C29" s="4" t="s">
        <v>129</v>
      </c>
      <c r="D29" s="28">
        <v>46089</v>
      </c>
      <c r="E29" s="28">
        <v>46088</v>
      </c>
      <c r="F29" s="5">
        <f t="shared" si="0"/>
        <v>1</v>
      </c>
      <c r="G29" s="8">
        <v>1414.75</v>
      </c>
      <c r="H29" s="8">
        <v>470.82</v>
      </c>
      <c r="I29" s="4" t="s">
        <v>80</v>
      </c>
    </row>
    <row r="30" spans="1:9" x14ac:dyDescent="0.35">
      <c r="A30" s="4" t="s">
        <v>41</v>
      </c>
      <c r="B30" s="4" t="s">
        <v>130</v>
      </c>
      <c r="C30" s="4" t="s">
        <v>131</v>
      </c>
      <c r="D30" s="28">
        <v>46096</v>
      </c>
      <c r="E30" s="28">
        <v>46094</v>
      </c>
      <c r="F30" s="5">
        <f t="shared" si="0"/>
        <v>2</v>
      </c>
      <c r="G30" s="8">
        <v>1703.44</v>
      </c>
      <c r="H30" s="8">
        <v>541.79</v>
      </c>
      <c r="I30" s="4" t="s">
        <v>80</v>
      </c>
    </row>
    <row r="31" spans="1:9" x14ac:dyDescent="0.35">
      <c r="A31" s="4" t="s">
        <v>41</v>
      </c>
      <c r="B31" s="4" t="s">
        <v>132</v>
      </c>
      <c r="C31" s="4" t="s">
        <v>133</v>
      </c>
      <c r="D31" s="28">
        <v>46103</v>
      </c>
      <c r="E31" s="28">
        <v>46101</v>
      </c>
      <c r="F31" s="5">
        <f t="shared" si="0"/>
        <v>2</v>
      </c>
      <c r="G31" s="8">
        <v>1418.21</v>
      </c>
      <c r="H31" s="8">
        <v>530.49</v>
      </c>
      <c r="I31" s="4" t="s">
        <v>80</v>
      </c>
    </row>
    <row r="32" spans="1:9" x14ac:dyDescent="0.35">
      <c r="A32" s="4" t="s">
        <v>41</v>
      </c>
      <c r="B32" s="4" t="s">
        <v>134</v>
      </c>
      <c r="C32" s="4" t="s">
        <v>135</v>
      </c>
      <c r="D32" s="28">
        <v>46110</v>
      </c>
      <c r="E32" s="28">
        <v>46107</v>
      </c>
      <c r="F32" s="5">
        <f t="shared" si="0"/>
        <v>3</v>
      </c>
      <c r="G32" s="8">
        <v>1234.31</v>
      </c>
      <c r="H32" s="8">
        <v>538.08000000000004</v>
      </c>
      <c r="I32" s="4" t="s">
        <v>80</v>
      </c>
    </row>
    <row r="33" spans="1:9" x14ac:dyDescent="0.35">
      <c r="A33" s="4" t="s">
        <v>41</v>
      </c>
      <c r="B33" s="4" t="s">
        <v>136</v>
      </c>
      <c r="C33" s="4" t="s">
        <v>137</v>
      </c>
      <c r="D33" s="28">
        <v>46110</v>
      </c>
      <c r="E33" s="28">
        <v>46109</v>
      </c>
      <c r="F33" s="5">
        <f t="shared" si="0"/>
        <v>1</v>
      </c>
      <c r="G33" s="8">
        <v>919.23</v>
      </c>
      <c r="H33" s="8">
        <v>410.63</v>
      </c>
      <c r="I33" s="4" t="s">
        <v>80</v>
      </c>
    </row>
    <row r="34" spans="1:9" x14ac:dyDescent="0.35">
      <c r="A34" s="4" t="s">
        <v>41</v>
      </c>
      <c r="B34" s="4" t="s">
        <v>138</v>
      </c>
      <c r="C34" s="4" t="s">
        <v>139</v>
      </c>
      <c r="D34" s="28">
        <v>46110</v>
      </c>
      <c r="E34" s="28">
        <v>46109</v>
      </c>
      <c r="F34" s="5">
        <f t="shared" si="0"/>
        <v>1</v>
      </c>
      <c r="G34" s="8">
        <v>1044.69</v>
      </c>
      <c r="H34" s="8">
        <v>0</v>
      </c>
      <c r="I34" s="4" t="s">
        <v>140</v>
      </c>
    </row>
    <row r="35" spans="1:9" x14ac:dyDescent="0.35">
      <c r="A35" s="24" t="s">
        <v>66</v>
      </c>
      <c r="B35" s="25"/>
      <c r="C35" s="25"/>
      <c r="D35" s="25"/>
      <c r="E35" s="24" t="s">
        <v>141</v>
      </c>
      <c r="F35" s="24">
        <f>COUNTA(B5:B34)</f>
        <v>30</v>
      </c>
      <c r="G35" s="27">
        <f>SUM(G5:G34)</f>
        <v>40991.03</v>
      </c>
      <c r="H35" s="27">
        <f>SUM(H5:H34)</f>
        <v>15426.979999999998</v>
      </c>
      <c r="I35" s="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14" customWidth="1"/>
    <col min="3" max="3" width="16" customWidth="1"/>
    <col min="4" max="4" width="14" customWidth="1"/>
    <col min="5" max="5" width="16" customWidth="1"/>
    <col min="6" max="6" width="14" customWidth="1"/>
  </cols>
  <sheetData>
    <row r="1" spans="1:6" ht="20" x14ac:dyDescent="0.4">
      <c r="A1" s="1" t="s">
        <v>142</v>
      </c>
    </row>
    <row r="2" spans="1:6" x14ac:dyDescent="0.35">
      <c r="A2" s="2" t="s">
        <v>143</v>
      </c>
    </row>
    <row r="4" spans="1:6" ht="42" customHeight="1" x14ac:dyDescent="0.35">
      <c r="A4" s="10" t="s">
        <v>144</v>
      </c>
      <c r="B4" s="10" t="s">
        <v>145</v>
      </c>
      <c r="C4" s="10" t="s">
        <v>146</v>
      </c>
      <c r="D4" s="10" t="s">
        <v>147</v>
      </c>
      <c r="E4" s="10" t="s">
        <v>148</v>
      </c>
      <c r="F4" s="10" t="s">
        <v>149</v>
      </c>
    </row>
    <row r="5" spans="1:6" x14ac:dyDescent="0.35">
      <c r="A5" s="4" t="s">
        <v>150</v>
      </c>
      <c r="B5" s="29">
        <v>143</v>
      </c>
      <c r="C5" s="30">
        <v>7.0139860139860097</v>
      </c>
      <c r="D5" s="29">
        <v>779</v>
      </c>
      <c r="E5" s="30">
        <v>3.0077021822849801</v>
      </c>
      <c r="F5" s="31">
        <f>IFERROR(C5/E5,"")</f>
        <v>2.3320081540312003</v>
      </c>
    </row>
    <row r="6" spans="1:6" x14ac:dyDescent="0.35">
      <c r="A6" s="4" t="s">
        <v>151</v>
      </c>
      <c r="B6" s="29">
        <v>143</v>
      </c>
      <c r="C6" s="30">
        <v>1.5244755244755199</v>
      </c>
      <c r="D6" s="29">
        <v>779</v>
      </c>
      <c r="E6" s="30">
        <v>1.5019255455712499</v>
      </c>
      <c r="F6" s="31">
        <f>IFERROR(C6/E6,"")</f>
        <v>1.0150140457832704</v>
      </c>
    </row>
    <row r="7" spans="1:6" x14ac:dyDescent="0.35">
      <c r="A7" s="4" t="s">
        <v>152</v>
      </c>
      <c r="B7" s="29">
        <v>24</v>
      </c>
      <c r="C7" s="30">
        <v>1</v>
      </c>
      <c r="D7" s="29">
        <v>122</v>
      </c>
      <c r="E7" s="30">
        <v>1</v>
      </c>
      <c r="F7" s="31">
        <f>IFERROR(C7/E7,"")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7" width="13" customWidth="1"/>
    <col min="8" max="8" width="11" customWidth="1"/>
    <col min="9" max="9" width="7" customWidth="1"/>
    <col min="10" max="10" width="9" customWidth="1"/>
    <col min="11" max="11" width="14" customWidth="1"/>
  </cols>
  <sheetData>
    <row r="1" spans="1:11" ht="20" x14ac:dyDescent="0.4">
      <c r="A1" s="1" t="s">
        <v>153</v>
      </c>
    </row>
    <row r="2" spans="1:11" x14ac:dyDescent="0.35">
      <c r="A2" s="2" t="s">
        <v>154</v>
      </c>
    </row>
    <row r="4" spans="1:11" ht="42" customHeight="1" x14ac:dyDescent="0.35">
      <c r="A4" s="10" t="s">
        <v>23</v>
      </c>
      <c r="B4" s="10" t="s">
        <v>71</v>
      </c>
      <c r="C4" s="10" t="s">
        <v>72</v>
      </c>
      <c r="D4" s="10" t="s">
        <v>155</v>
      </c>
      <c r="E4" s="10" t="s">
        <v>70</v>
      </c>
      <c r="F4" s="10" t="s">
        <v>75</v>
      </c>
      <c r="G4" s="10" t="s">
        <v>76</v>
      </c>
      <c r="H4" s="10" t="s">
        <v>77</v>
      </c>
      <c r="I4" s="10" t="s">
        <v>156</v>
      </c>
      <c r="J4" s="10" t="s">
        <v>157</v>
      </c>
      <c r="K4" s="10" t="s">
        <v>158</v>
      </c>
    </row>
    <row r="5" spans="1:11" x14ac:dyDescent="0.35">
      <c r="A5" s="4" t="s">
        <v>159</v>
      </c>
      <c r="B5" s="4" t="s">
        <v>160</v>
      </c>
      <c r="C5" s="28">
        <v>46006</v>
      </c>
      <c r="D5" s="4" t="s">
        <v>161</v>
      </c>
      <c r="E5" s="4" t="s">
        <v>162</v>
      </c>
      <c r="F5" s="8">
        <v>579.11</v>
      </c>
      <c r="G5" s="8">
        <v>250.89</v>
      </c>
      <c r="H5" s="4" t="s">
        <v>80</v>
      </c>
      <c r="I5" s="4">
        <v>1</v>
      </c>
      <c r="J5" s="4">
        <v>1</v>
      </c>
      <c r="K5" s="4">
        <f t="shared" ref="K5:K32" si="0">IF(J5&gt;1,1,0)</f>
        <v>0</v>
      </c>
    </row>
    <row r="6" spans="1:11" x14ac:dyDescent="0.35">
      <c r="A6" s="4" t="s">
        <v>159</v>
      </c>
      <c r="B6" s="4" t="s">
        <v>160</v>
      </c>
      <c r="C6" s="28">
        <v>46006</v>
      </c>
      <c r="D6" s="4" t="s">
        <v>161</v>
      </c>
      <c r="E6" s="4" t="s">
        <v>163</v>
      </c>
      <c r="F6" s="8">
        <v>552.30999999999995</v>
      </c>
      <c r="G6" s="8">
        <v>188.67</v>
      </c>
      <c r="H6" s="4" t="s">
        <v>80</v>
      </c>
      <c r="I6" s="4">
        <v>1</v>
      </c>
      <c r="J6" s="4">
        <v>2</v>
      </c>
      <c r="K6" s="4">
        <f t="shared" si="0"/>
        <v>1</v>
      </c>
    </row>
    <row r="7" spans="1:11" x14ac:dyDescent="0.35">
      <c r="A7" s="4" t="s">
        <v>58</v>
      </c>
      <c r="B7" s="4" t="s">
        <v>164</v>
      </c>
      <c r="C7" s="28">
        <v>46020</v>
      </c>
      <c r="D7" s="4" t="s">
        <v>165</v>
      </c>
      <c r="E7" s="4" t="s">
        <v>166</v>
      </c>
      <c r="F7" s="8">
        <v>1282.73</v>
      </c>
      <c r="G7" s="8">
        <v>676.87</v>
      </c>
      <c r="H7" s="4" t="s">
        <v>80</v>
      </c>
      <c r="I7" s="4">
        <v>2</v>
      </c>
      <c r="J7" s="4">
        <v>1</v>
      </c>
      <c r="K7" s="4">
        <f t="shared" si="0"/>
        <v>0</v>
      </c>
    </row>
    <row r="8" spans="1:11" x14ac:dyDescent="0.35">
      <c r="A8" s="4" t="s">
        <v>58</v>
      </c>
      <c r="B8" s="4" t="s">
        <v>164</v>
      </c>
      <c r="C8" s="28">
        <v>46020</v>
      </c>
      <c r="D8" s="4" t="s">
        <v>165</v>
      </c>
      <c r="E8" s="4" t="s">
        <v>167</v>
      </c>
      <c r="F8" s="8">
        <v>1090.9100000000001</v>
      </c>
      <c r="G8" s="8">
        <v>707.39</v>
      </c>
      <c r="H8" s="4" t="s">
        <v>80</v>
      </c>
      <c r="I8" s="4">
        <v>2</v>
      </c>
      <c r="J8" s="4">
        <v>2</v>
      </c>
      <c r="K8" s="4">
        <f t="shared" si="0"/>
        <v>1</v>
      </c>
    </row>
    <row r="9" spans="1:11" x14ac:dyDescent="0.35">
      <c r="A9" s="4" t="s">
        <v>58</v>
      </c>
      <c r="B9" s="4" t="s">
        <v>168</v>
      </c>
      <c r="C9" s="28">
        <v>46006</v>
      </c>
      <c r="D9" s="4" t="s">
        <v>169</v>
      </c>
      <c r="E9" s="4" t="s">
        <v>170</v>
      </c>
      <c r="F9" s="8">
        <v>297.11</v>
      </c>
      <c r="G9" s="8">
        <v>118.29</v>
      </c>
      <c r="H9" s="4" t="s">
        <v>80</v>
      </c>
      <c r="I9" s="4">
        <v>3</v>
      </c>
      <c r="J9" s="4">
        <v>1</v>
      </c>
      <c r="K9" s="4">
        <f t="shared" si="0"/>
        <v>0</v>
      </c>
    </row>
    <row r="10" spans="1:11" x14ac:dyDescent="0.35">
      <c r="A10" s="4" t="s">
        <v>58</v>
      </c>
      <c r="B10" s="4" t="s">
        <v>168</v>
      </c>
      <c r="C10" s="28">
        <v>46006</v>
      </c>
      <c r="D10" s="4" t="s">
        <v>169</v>
      </c>
      <c r="E10" s="4" t="s">
        <v>171</v>
      </c>
      <c r="F10" s="8">
        <v>338.56</v>
      </c>
      <c r="G10" s="8">
        <v>121.64</v>
      </c>
      <c r="H10" s="4" t="s">
        <v>80</v>
      </c>
      <c r="I10" s="4">
        <v>3</v>
      </c>
      <c r="J10" s="4">
        <v>2</v>
      </c>
      <c r="K10" s="4">
        <f t="shared" si="0"/>
        <v>1</v>
      </c>
    </row>
    <row r="11" spans="1:11" x14ac:dyDescent="0.35">
      <c r="A11" s="4" t="s">
        <v>58</v>
      </c>
      <c r="B11" s="4" t="s">
        <v>172</v>
      </c>
      <c r="C11" s="28">
        <v>46062</v>
      </c>
      <c r="D11" s="4" t="s">
        <v>173</v>
      </c>
      <c r="E11" s="4" t="s">
        <v>174</v>
      </c>
      <c r="F11" s="8">
        <v>599.63</v>
      </c>
      <c r="G11" s="8">
        <v>214.92</v>
      </c>
      <c r="H11" s="4" t="s">
        <v>80</v>
      </c>
      <c r="I11" s="4">
        <v>4</v>
      </c>
      <c r="J11" s="4">
        <v>1</v>
      </c>
      <c r="K11" s="4">
        <f t="shared" si="0"/>
        <v>0</v>
      </c>
    </row>
    <row r="12" spans="1:11" x14ac:dyDescent="0.35">
      <c r="A12" s="4" t="s">
        <v>58</v>
      </c>
      <c r="B12" s="4" t="s">
        <v>172</v>
      </c>
      <c r="C12" s="28">
        <v>46062</v>
      </c>
      <c r="D12" s="4" t="s">
        <v>173</v>
      </c>
      <c r="E12" s="4" t="s">
        <v>175</v>
      </c>
      <c r="F12" s="8">
        <v>563.95000000000005</v>
      </c>
      <c r="G12" s="8">
        <v>0</v>
      </c>
      <c r="H12" s="4" t="s">
        <v>89</v>
      </c>
      <c r="I12" s="4">
        <v>4</v>
      </c>
      <c r="J12" s="4">
        <v>2</v>
      </c>
      <c r="K12" s="4">
        <f t="shared" si="0"/>
        <v>1</v>
      </c>
    </row>
    <row r="13" spans="1:11" x14ac:dyDescent="0.35">
      <c r="A13" s="4" t="s">
        <v>176</v>
      </c>
      <c r="B13" s="4" t="s">
        <v>177</v>
      </c>
      <c r="C13" s="28">
        <v>46029</v>
      </c>
      <c r="D13" s="4" t="s">
        <v>165</v>
      </c>
      <c r="E13" s="4" t="s">
        <v>178</v>
      </c>
      <c r="F13" s="8">
        <v>1363.69</v>
      </c>
      <c r="G13" s="8">
        <v>667.11</v>
      </c>
      <c r="H13" s="4" t="s">
        <v>80</v>
      </c>
      <c r="I13" s="4">
        <v>5</v>
      </c>
      <c r="J13" s="4">
        <v>1</v>
      </c>
      <c r="K13" s="4">
        <f t="shared" si="0"/>
        <v>0</v>
      </c>
    </row>
    <row r="14" spans="1:11" x14ac:dyDescent="0.35">
      <c r="A14" s="4" t="s">
        <v>176</v>
      </c>
      <c r="B14" s="4" t="s">
        <v>177</v>
      </c>
      <c r="C14" s="28">
        <v>46029</v>
      </c>
      <c r="D14" s="4" t="s">
        <v>165</v>
      </c>
      <c r="E14" s="4" t="s">
        <v>179</v>
      </c>
      <c r="F14" s="8">
        <v>1143.3</v>
      </c>
      <c r="G14" s="8">
        <v>708.84</v>
      </c>
      <c r="H14" s="4" t="s">
        <v>80</v>
      </c>
      <c r="I14" s="4">
        <v>5</v>
      </c>
      <c r="J14" s="4">
        <v>2</v>
      </c>
      <c r="K14" s="4">
        <f t="shared" si="0"/>
        <v>1</v>
      </c>
    </row>
    <row r="15" spans="1:11" x14ac:dyDescent="0.35">
      <c r="A15" s="4" t="s">
        <v>180</v>
      </c>
      <c r="B15" s="4" t="s">
        <v>181</v>
      </c>
      <c r="C15" s="28">
        <v>46076</v>
      </c>
      <c r="D15" s="4" t="s">
        <v>161</v>
      </c>
      <c r="E15" s="4" t="s">
        <v>182</v>
      </c>
      <c r="F15" s="8">
        <v>237.69</v>
      </c>
      <c r="G15" s="8">
        <v>104.21</v>
      </c>
      <c r="H15" s="4" t="s">
        <v>80</v>
      </c>
      <c r="I15" s="4">
        <v>6</v>
      </c>
      <c r="J15" s="4">
        <v>1</v>
      </c>
      <c r="K15" s="4">
        <f t="shared" si="0"/>
        <v>0</v>
      </c>
    </row>
    <row r="16" spans="1:11" x14ac:dyDescent="0.35">
      <c r="A16" s="4" t="s">
        <v>180</v>
      </c>
      <c r="B16" s="4" t="s">
        <v>181</v>
      </c>
      <c r="C16" s="28">
        <v>46076</v>
      </c>
      <c r="D16" s="4" t="s">
        <v>161</v>
      </c>
      <c r="E16" s="4" t="s">
        <v>183</v>
      </c>
      <c r="F16" s="8">
        <v>235.38</v>
      </c>
      <c r="G16" s="8">
        <v>105.64</v>
      </c>
      <c r="H16" s="4" t="s">
        <v>80</v>
      </c>
      <c r="I16" s="4">
        <v>6</v>
      </c>
      <c r="J16" s="4">
        <v>2</v>
      </c>
      <c r="K16" s="4">
        <f t="shared" si="0"/>
        <v>1</v>
      </c>
    </row>
    <row r="17" spans="1:11" x14ac:dyDescent="0.35">
      <c r="A17" s="4" t="s">
        <v>58</v>
      </c>
      <c r="B17" s="4" t="s">
        <v>184</v>
      </c>
      <c r="C17" s="28">
        <v>46030</v>
      </c>
      <c r="D17" s="4" t="s">
        <v>161</v>
      </c>
      <c r="E17" s="4" t="s">
        <v>185</v>
      </c>
      <c r="F17" s="8">
        <v>249.02</v>
      </c>
      <c r="G17" s="8">
        <v>153.74</v>
      </c>
      <c r="H17" s="4" t="s">
        <v>80</v>
      </c>
      <c r="I17" s="4">
        <v>7</v>
      </c>
      <c r="J17" s="4">
        <v>1</v>
      </c>
      <c r="K17" s="4">
        <f t="shared" si="0"/>
        <v>0</v>
      </c>
    </row>
    <row r="18" spans="1:11" x14ac:dyDescent="0.35">
      <c r="A18" s="4" t="s">
        <v>58</v>
      </c>
      <c r="B18" s="4" t="s">
        <v>184</v>
      </c>
      <c r="C18" s="28">
        <v>46030</v>
      </c>
      <c r="D18" s="4" t="s">
        <v>161</v>
      </c>
      <c r="E18" s="4" t="s">
        <v>186</v>
      </c>
      <c r="F18" s="8">
        <v>277.24</v>
      </c>
      <c r="G18" s="8">
        <v>145.27000000000001</v>
      </c>
      <c r="H18" s="4" t="s">
        <v>80</v>
      </c>
      <c r="I18" s="4">
        <v>7</v>
      </c>
      <c r="J18" s="4">
        <v>2</v>
      </c>
      <c r="K18" s="4">
        <f t="shared" si="0"/>
        <v>1</v>
      </c>
    </row>
    <row r="19" spans="1:11" x14ac:dyDescent="0.35">
      <c r="A19" s="4" t="s">
        <v>58</v>
      </c>
      <c r="B19" s="4" t="s">
        <v>187</v>
      </c>
      <c r="C19" s="28">
        <v>46007</v>
      </c>
      <c r="D19" s="4" t="s">
        <v>165</v>
      </c>
      <c r="E19" s="4" t="s">
        <v>188</v>
      </c>
      <c r="F19" s="8">
        <v>1371.61</v>
      </c>
      <c r="G19" s="8">
        <v>711.68</v>
      </c>
      <c r="H19" s="4" t="s">
        <v>80</v>
      </c>
      <c r="I19" s="4">
        <v>8</v>
      </c>
      <c r="J19" s="4">
        <v>1</v>
      </c>
      <c r="K19" s="4">
        <f t="shared" si="0"/>
        <v>0</v>
      </c>
    </row>
    <row r="20" spans="1:11" x14ac:dyDescent="0.35">
      <c r="A20" s="4" t="s">
        <v>58</v>
      </c>
      <c r="B20" s="4" t="s">
        <v>187</v>
      </c>
      <c r="C20" s="28">
        <v>46007</v>
      </c>
      <c r="D20" s="4" t="s">
        <v>165</v>
      </c>
      <c r="E20" s="4" t="s">
        <v>189</v>
      </c>
      <c r="F20" s="8">
        <v>1294.8800000000001</v>
      </c>
      <c r="G20" s="8">
        <v>0</v>
      </c>
      <c r="H20" s="4" t="s">
        <v>89</v>
      </c>
      <c r="I20" s="4">
        <v>8</v>
      </c>
      <c r="J20" s="4">
        <v>2</v>
      </c>
      <c r="K20" s="4">
        <f t="shared" si="0"/>
        <v>1</v>
      </c>
    </row>
    <row r="21" spans="1:11" x14ac:dyDescent="0.35">
      <c r="A21" s="4" t="s">
        <v>58</v>
      </c>
      <c r="B21" s="4" t="s">
        <v>190</v>
      </c>
      <c r="C21" s="28">
        <v>46006</v>
      </c>
      <c r="D21" s="4" t="s">
        <v>169</v>
      </c>
      <c r="E21" s="4" t="s">
        <v>191</v>
      </c>
      <c r="F21" s="8">
        <v>302.26</v>
      </c>
      <c r="G21" s="8">
        <v>127.12</v>
      </c>
      <c r="H21" s="4" t="s">
        <v>80</v>
      </c>
      <c r="I21" s="4">
        <v>9</v>
      </c>
      <c r="J21" s="4">
        <v>1</v>
      </c>
      <c r="K21" s="4">
        <f t="shared" si="0"/>
        <v>0</v>
      </c>
    </row>
    <row r="22" spans="1:11" x14ac:dyDescent="0.35">
      <c r="A22" s="4" t="s">
        <v>58</v>
      </c>
      <c r="B22" s="4" t="s">
        <v>190</v>
      </c>
      <c r="C22" s="28">
        <v>46006</v>
      </c>
      <c r="D22" s="4" t="s">
        <v>169</v>
      </c>
      <c r="E22" s="4" t="s">
        <v>192</v>
      </c>
      <c r="F22" s="8">
        <v>239.91</v>
      </c>
      <c r="G22" s="8">
        <v>0</v>
      </c>
      <c r="H22" s="4" t="s">
        <v>89</v>
      </c>
      <c r="I22" s="4">
        <v>9</v>
      </c>
      <c r="J22" s="4">
        <v>2</v>
      </c>
      <c r="K22" s="4">
        <f t="shared" si="0"/>
        <v>1</v>
      </c>
    </row>
    <row r="23" spans="1:11" x14ac:dyDescent="0.35">
      <c r="A23" s="4" t="s">
        <v>58</v>
      </c>
      <c r="B23" s="4" t="s">
        <v>193</v>
      </c>
      <c r="C23" s="28">
        <v>46085</v>
      </c>
      <c r="D23" s="4" t="s">
        <v>165</v>
      </c>
      <c r="E23" s="4" t="s">
        <v>194</v>
      </c>
      <c r="F23" s="8">
        <v>1087.31</v>
      </c>
      <c r="G23" s="8">
        <v>573.91</v>
      </c>
      <c r="H23" s="4" t="s">
        <v>80</v>
      </c>
      <c r="I23" s="4">
        <v>10</v>
      </c>
      <c r="J23" s="4">
        <v>1</v>
      </c>
      <c r="K23" s="4">
        <f t="shared" si="0"/>
        <v>0</v>
      </c>
    </row>
    <row r="24" spans="1:11" x14ac:dyDescent="0.35">
      <c r="A24" s="4" t="s">
        <v>58</v>
      </c>
      <c r="B24" s="4" t="s">
        <v>193</v>
      </c>
      <c r="C24" s="28">
        <v>46085</v>
      </c>
      <c r="D24" s="4" t="s">
        <v>165</v>
      </c>
      <c r="E24" s="4" t="s">
        <v>195</v>
      </c>
      <c r="F24" s="8">
        <v>1090.0999999999999</v>
      </c>
      <c r="G24" s="8">
        <v>0</v>
      </c>
      <c r="H24" s="4" t="s">
        <v>140</v>
      </c>
      <c r="I24" s="4">
        <v>10</v>
      </c>
      <c r="J24" s="4">
        <v>2</v>
      </c>
      <c r="K24" s="4">
        <f t="shared" si="0"/>
        <v>1</v>
      </c>
    </row>
    <row r="25" spans="1:11" x14ac:dyDescent="0.35">
      <c r="A25" s="4" t="s">
        <v>58</v>
      </c>
      <c r="B25" s="4" t="s">
        <v>196</v>
      </c>
      <c r="C25" s="28">
        <v>46069</v>
      </c>
      <c r="D25" s="4" t="s">
        <v>197</v>
      </c>
      <c r="E25" s="4" t="s">
        <v>198</v>
      </c>
      <c r="F25" s="8">
        <v>700.24</v>
      </c>
      <c r="G25" s="8">
        <v>275.22000000000003</v>
      </c>
      <c r="H25" s="4" t="s">
        <v>80</v>
      </c>
      <c r="I25" s="4">
        <v>11</v>
      </c>
      <c r="J25" s="4">
        <v>1</v>
      </c>
      <c r="K25" s="4">
        <f t="shared" si="0"/>
        <v>0</v>
      </c>
    </row>
    <row r="26" spans="1:11" x14ac:dyDescent="0.35">
      <c r="A26" s="4" t="s">
        <v>58</v>
      </c>
      <c r="B26" s="4" t="s">
        <v>196</v>
      </c>
      <c r="C26" s="28">
        <v>46069</v>
      </c>
      <c r="D26" s="4" t="s">
        <v>197</v>
      </c>
      <c r="E26" s="4" t="s">
        <v>199</v>
      </c>
      <c r="F26" s="8">
        <v>741.66</v>
      </c>
      <c r="G26" s="8">
        <v>0</v>
      </c>
      <c r="H26" s="4" t="s">
        <v>89</v>
      </c>
      <c r="I26" s="4">
        <v>11</v>
      </c>
      <c r="J26" s="4">
        <v>2</v>
      </c>
      <c r="K26" s="4">
        <f t="shared" si="0"/>
        <v>1</v>
      </c>
    </row>
    <row r="27" spans="1:11" x14ac:dyDescent="0.35">
      <c r="A27" s="4" t="s">
        <v>58</v>
      </c>
      <c r="B27" s="4" t="s">
        <v>200</v>
      </c>
      <c r="C27" s="28">
        <v>46023</v>
      </c>
      <c r="D27" s="4" t="s">
        <v>201</v>
      </c>
      <c r="E27" s="4" t="s">
        <v>202</v>
      </c>
      <c r="F27" s="8">
        <v>513.26</v>
      </c>
      <c r="G27" s="8">
        <v>228.47</v>
      </c>
      <c r="H27" s="4" t="s">
        <v>80</v>
      </c>
      <c r="I27" s="4">
        <v>12</v>
      </c>
      <c r="J27" s="4">
        <v>1</v>
      </c>
      <c r="K27" s="4">
        <f t="shared" si="0"/>
        <v>0</v>
      </c>
    </row>
    <row r="28" spans="1:11" x14ac:dyDescent="0.35">
      <c r="A28" s="4" t="s">
        <v>58</v>
      </c>
      <c r="B28" s="4" t="s">
        <v>200</v>
      </c>
      <c r="C28" s="28">
        <v>46023</v>
      </c>
      <c r="D28" s="4" t="s">
        <v>201</v>
      </c>
      <c r="E28" s="4" t="s">
        <v>203</v>
      </c>
      <c r="F28" s="8">
        <v>511.83</v>
      </c>
      <c r="G28" s="8">
        <v>0</v>
      </c>
      <c r="H28" s="4" t="s">
        <v>89</v>
      </c>
      <c r="I28" s="4">
        <v>12</v>
      </c>
      <c r="J28" s="4">
        <v>2</v>
      </c>
      <c r="K28" s="4">
        <f t="shared" si="0"/>
        <v>1</v>
      </c>
    </row>
    <row r="29" spans="1:11" x14ac:dyDescent="0.35">
      <c r="A29" s="4" t="s">
        <v>58</v>
      </c>
      <c r="B29" s="4" t="s">
        <v>204</v>
      </c>
      <c r="C29" s="28">
        <v>46055</v>
      </c>
      <c r="D29" s="4" t="s">
        <v>201</v>
      </c>
      <c r="E29" s="4" t="s">
        <v>205</v>
      </c>
      <c r="F29" s="8">
        <v>961.27</v>
      </c>
      <c r="G29" s="8">
        <v>394.99</v>
      </c>
      <c r="H29" s="4" t="s">
        <v>80</v>
      </c>
      <c r="I29" s="4">
        <v>13</v>
      </c>
      <c r="J29" s="4">
        <v>1</v>
      </c>
      <c r="K29" s="4">
        <f t="shared" si="0"/>
        <v>0</v>
      </c>
    </row>
    <row r="30" spans="1:11" x14ac:dyDescent="0.35">
      <c r="A30" s="4" t="s">
        <v>58</v>
      </c>
      <c r="B30" s="4" t="s">
        <v>204</v>
      </c>
      <c r="C30" s="28">
        <v>46055</v>
      </c>
      <c r="D30" s="4" t="s">
        <v>201</v>
      </c>
      <c r="E30" s="4" t="s">
        <v>206</v>
      </c>
      <c r="F30" s="8">
        <v>885.87</v>
      </c>
      <c r="G30" s="8">
        <v>424.2</v>
      </c>
      <c r="H30" s="4" t="s">
        <v>80</v>
      </c>
      <c r="I30" s="4">
        <v>13</v>
      </c>
      <c r="J30" s="4">
        <v>2</v>
      </c>
      <c r="K30" s="4">
        <f t="shared" si="0"/>
        <v>1</v>
      </c>
    </row>
    <row r="31" spans="1:11" x14ac:dyDescent="0.35">
      <c r="A31" s="4" t="s">
        <v>58</v>
      </c>
      <c r="B31" s="4" t="s">
        <v>207</v>
      </c>
      <c r="C31" s="28">
        <v>46020</v>
      </c>
      <c r="D31" s="4" t="s">
        <v>197</v>
      </c>
      <c r="E31" s="4" t="s">
        <v>208</v>
      </c>
      <c r="F31" s="8">
        <v>574.64</v>
      </c>
      <c r="G31" s="8">
        <v>228.6</v>
      </c>
      <c r="H31" s="4" t="s">
        <v>80</v>
      </c>
      <c r="I31" s="4">
        <v>14</v>
      </c>
      <c r="J31" s="4">
        <v>1</v>
      </c>
      <c r="K31" s="4">
        <f t="shared" si="0"/>
        <v>0</v>
      </c>
    </row>
    <row r="32" spans="1:11" x14ac:dyDescent="0.35">
      <c r="A32" s="4" t="s">
        <v>58</v>
      </c>
      <c r="B32" s="4" t="s">
        <v>207</v>
      </c>
      <c r="C32" s="28">
        <v>46020</v>
      </c>
      <c r="D32" s="4" t="s">
        <v>197</v>
      </c>
      <c r="E32" s="4" t="s">
        <v>209</v>
      </c>
      <c r="F32" s="8">
        <v>527.01</v>
      </c>
      <c r="G32" s="8">
        <v>223.15</v>
      </c>
      <c r="H32" s="4" t="s">
        <v>80</v>
      </c>
      <c r="I32" s="4">
        <v>14</v>
      </c>
      <c r="J32" s="4">
        <v>2</v>
      </c>
      <c r="K32" s="4">
        <f t="shared" si="0"/>
        <v>1</v>
      </c>
    </row>
    <row r="33" spans="1:11" x14ac:dyDescent="0.35">
      <c r="A33" s="24" t="s">
        <v>66</v>
      </c>
      <c r="B33" s="25"/>
      <c r="C33" s="25"/>
      <c r="D33" s="25"/>
      <c r="E33" s="25"/>
      <c r="F33" s="27">
        <f>SUM(F5:F32)</f>
        <v>19612.479999999996</v>
      </c>
      <c r="G33" s="27">
        <f>SUM(G5:G32)</f>
        <v>7350.8200000000006</v>
      </c>
      <c r="H33" s="25"/>
      <c r="I33" s="25"/>
      <c r="J33" s="25"/>
      <c r="K33" s="24">
        <f>SUM(K5:K32)</f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14" customWidth="1"/>
    <col min="3" max="4" width="18" customWidth="1"/>
    <col min="5" max="5" width="13" customWidth="1"/>
    <col min="6" max="7" width="18" customWidth="1"/>
    <col min="8" max="8" width="13" customWidth="1"/>
  </cols>
  <sheetData>
    <row r="1" spans="1:8" ht="20" x14ac:dyDescent="0.4">
      <c r="A1" s="1" t="s">
        <v>210</v>
      </c>
    </row>
    <row r="2" spans="1:8" x14ac:dyDescent="0.35">
      <c r="A2" s="2" t="s">
        <v>211</v>
      </c>
    </row>
    <row r="4" spans="1:8" ht="42" customHeight="1" x14ac:dyDescent="0.35">
      <c r="A4" s="10" t="s">
        <v>144</v>
      </c>
      <c r="B4" s="10" t="s">
        <v>145</v>
      </c>
      <c r="C4" s="10" t="s">
        <v>212</v>
      </c>
      <c r="D4" s="10" t="s">
        <v>213</v>
      </c>
      <c r="E4" s="10" t="s">
        <v>214</v>
      </c>
      <c r="F4" s="10" t="s">
        <v>215</v>
      </c>
      <c r="G4" s="10" t="s">
        <v>216</v>
      </c>
      <c r="H4" s="10" t="s">
        <v>217</v>
      </c>
    </row>
    <row r="5" spans="1:8" x14ac:dyDescent="0.35">
      <c r="A5" s="4" t="s">
        <v>218</v>
      </c>
      <c r="B5" s="29">
        <v>13</v>
      </c>
      <c r="C5" s="32">
        <v>407.50769230769203</v>
      </c>
      <c r="D5" s="32">
        <v>142.32895981087501</v>
      </c>
      <c r="E5" s="31">
        <f>IFERROR(C5/D5,"")</f>
        <v>2.8631396790167178</v>
      </c>
      <c r="F5" s="32">
        <v>66.943076923076902</v>
      </c>
      <c r="G5" s="32">
        <v>74.835130023640701</v>
      </c>
      <c r="H5" s="31">
        <f>IFERROR(F5/G5,"")</f>
        <v>0.89454079791041097</v>
      </c>
    </row>
    <row r="6" spans="1:8" x14ac:dyDescent="0.35">
      <c r="A6" s="4" t="s">
        <v>219</v>
      </c>
      <c r="B6" s="29">
        <v>7</v>
      </c>
      <c r="C6" s="32">
        <v>3539.08</v>
      </c>
      <c r="D6" s="32">
        <v>1229.5570056497199</v>
      </c>
      <c r="E6" s="31">
        <f>IFERROR(C6/D6,"")</f>
        <v>2.878337469298454</v>
      </c>
      <c r="F6" s="32">
        <v>572.357142857143</v>
      </c>
      <c r="G6" s="32">
        <v>638.83412429378495</v>
      </c>
      <c r="H6" s="31">
        <f>IFERROR(F6/G6,"")</f>
        <v>0.89594015268027427</v>
      </c>
    </row>
    <row r="7" spans="1:8" x14ac:dyDescent="0.35">
      <c r="A7" s="4" t="s">
        <v>220</v>
      </c>
      <c r="B7" s="29">
        <v>6</v>
      </c>
      <c r="C7" s="32">
        <v>4903.2516666666697</v>
      </c>
      <c r="D7" s="32">
        <v>1629.0428125000001</v>
      </c>
      <c r="E7" s="31">
        <f>IFERROR(C7/D7,"")</f>
        <v>3.009897363680655</v>
      </c>
      <c r="F7" s="32">
        <v>763.22500000000002</v>
      </c>
      <c r="G7" s="32">
        <v>877.26625000000001</v>
      </c>
      <c r="H7" s="31">
        <f>IFERROR(F7/G7,"")</f>
        <v>0.8700038329298545</v>
      </c>
    </row>
    <row r="8" spans="1:8" x14ac:dyDescent="0.35">
      <c r="A8" s="4" t="s">
        <v>221</v>
      </c>
      <c r="B8" s="29">
        <v>3</v>
      </c>
      <c r="C8" s="32">
        <v>5752.4</v>
      </c>
      <c r="D8" s="32">
        <v>1989.64433333333</v>
      </c>
      <c r="E8" s="31">
        <f>IFERROR(C8/D8,"")</f>
        <v>2.8911699963795923</v>
      </c>
      <c r="F8" s="32">
        <v>936.98666666666702</v>
      </c>
      <c r="G8" s="32">
        <v>1038.2145555555601</v>
      </c>
      <c r="H8" s="31">
        <f>IFERROR(F8/G8,"")</f>
        <v>0.90249810277922282</v>
      </c>
    </row>
    <row r="9" spans="1:8" x14ac:dyDescent="0.35">
      <c r="A9" s="4" t="s">
        <v>222</v>
      </c>
      <c r="B9" s="29">
        <v>2</v>
      </c>
      <c r="C9" s="32">
        <v>2033.69</v>
      </c>
      <c r="D9" s="32">
        <v>651.05941176470606</v>
      </c>
      <c r="E9" s="31">
        <f>IFERROR(C9/D9,"")</f>
        <v>3.1236626999794899</v>
      </c>
      <c r="F9" s="32">
        <v>311.03500000000003</v>
      </c>
      <c r="G9" s="32">
        <v>346.03082352941198</v>
      </c>
      <c r="H9" s="31">
        <f>IFERROR(F9/G9,"")</f>
        <v>0.89886501100547944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4" sqref="I14"/>
    </sheetView>
  </sheetViews>
  <sheetFormatPr defaultColWidth="8.6328125" defaultRowHeight="14.5" x14ac:dyDescent="0.35"/>
  <cols>
    <col min="1" max="1" width="11" customWidth="1"/>
    <col min="2" max="2" width="9" customWidth="1"/>
    <col min="3" max="3" width="13" customWidth="1"/>
    <col min="4" max="4" width="11" customWidth="1"/>
    <col min="5" max="9" width="10" customWidth="1"/>
    <col min="10" max="10" width="16" customWidth="1"/>
  </cols>
  <sheetData>
    <row r="1" spans="1:10" ht="20" x14ac:dyDescent="0.4">
      <c r="A1" s="1" t="s">
        <v>223</v>
      </c>
    </row>
    <row r="2" spans="1:10" x14ac:dyDescent="0.35">
      <c r="A2" s="2" t="s">
        <v>224</v>
      </c>
    </row>
    <row r="4" spans="1:10" ht="42" customHeight="1" x14ac:dyDescent="0.35">
      <c r="A4" s="10" t="s">
        <v>23</v>
      </c>
      <c r="B4" s="10" t="s">
        <v>27</v>
      </c>
      <c r="C4" s="10" t="s">
        <v>225</v>
      </c>
      <c r="D4" s="10" t="s">
        <v>32</v>
      </c>
      <c r="E4" s="10" t="s">
        <v>226</v>
      </c>
      <c r="F4" s="10" t="s">
        <v>227</v>
      </c>
      <c r="G4" s="10" t="s">
        <v>228</v>
      </c>
      <c r="H4" s="10" t="s">
        <v>229</v>
      </c>
      <c r="I4" s="10" t="s">
        <v>230</v>
      </c>
      <c r="J4" s="10" t="s">
        <v>231</v>
      </c>
    </row>
    <row r="5" spans="1:10" x14ac:dyDescent="0.35">
      <c r="A5" s="4" t="s">
        <v>60</v>
      </c>
      <c r="B5" s="29">
        <v>29</v>
      </c>
      <c r="C5" s="4">
        <f t="shared" ref="C5:C11" si="0">SUM(E5:I5)</f>
        <v>22</v>
      </c>
      <c r="D5" s="33">
        <f t="shared" ref="D5:D11" si="1">IFERROR(C5/B5,"")</f>
        <v>0.75862068965517238</v>
      </c>
      <c r="E5" s="29">
        <v>0</v>
      </c>
      <c r="F5" s="29">
        <v>0</v>
      </c>
      <c r="G5" s="29">
        <v>0</v>
      </c>
      <c r="H5" s="29">
        <v>22</v>
      </c>
      <c r="I5" s="29">
        <v>0</v>
      </c>
      <c r="J5" s="4">
        <f t="shared" ref="J5:J11" si="2">C5-SUM(E5:I5)</f>
        <v>0</v>
      </c>
    </row>
    <row r="6" spans="1:10" x14ac:dyDescent="0.35">
      <c r="A6" s="4" t="s">
        <v>48</v>
      </c>
      <c r="B6" s="29">
        <v>33</v>
      </c>
      <c r="C6" s="4">
        <f t="shared" si="0"/>
        <v>23</v>
      </c>
      <c r="D6" s="33">
        <f t="shared" si="1"/>
        <v>0.69696969696969702</v>
      </c>
      <c r="E6" s="29">
        <v>0</v>
      </c>
      <c r="F6" s="29">
        <v>0</v>
      </c>
      <c r="G6" s="29">
        <v>2</v>
      </c>
      <c r="H6" s="29">
        <v>21</v>
      </c>
      <c r="I6" s="29">
        <v>0</v>
      </c>
      <c r="J6" s="4">
        <f t="shared" si="2"/>
        <v>0</v>
      </c>
    </row>
    <row r="7" spans="1:10" x14ac:dyDescent="0.35">
      <c r="A7" s="4" t="s">
        <v>61</v>
      </c>
      <c r="B7" s="29">
        <v>78</v>
      </c>
      <c r="C7" s="4">
        <f t="shared" si="0"/>
        <v>49</v>
      </c>
      <c r="D7" s="33">
        <f t="shared" si="1"/>
        <v>0.62820512820512819</v>
      </c>
      <c r="E7" s="29">
        <v>0</v>
      </c>
      <c r="F7" s="29">
        <v>0</v>
      </c>
      <c r="G7" s="29">
        <v>1</v>
      </c>
      <c r="H7" s="29">
        <v>48</v>
      </c>
      <c r="I7" s="29">
        <v>0</v>
      </c>
      <c r="J7" s="4">
        <f t="shared" si="2"/>
        <v>0</v>
      </c>
    </row>
    <row r="8" spans="1:10" x14ac:dyDescent="0.35">
      <c r="A8" s="4" t="s">
        <v>64</v>
      </c>
      <c r="B8" s="29">
        <v>55</v>
      </c>
      <c r="C8" s="4">
        <f t="shared" si="0"/>
        <v>33</v>
      </c>
      <c r="D8" s="33">
        <f t="shared" si="1"/>
        <v>0.6</v>
      </c>
      <c r="E8" s="29">
        <v>0</v>
      </c>
      <c r="F8" s="29">
        <v>0</v>
      </c>
      <c r="G8" s="29">
        <v>1</v>
      </c>
      <c r="H8" s="29">
        <v>31</v>
      </c>
      <c r="I8" s="29">
        <v>1</v>
      </c>
      <c r="J8" s="4">
        <f t="shared" si="2"/>
        <v>0</v>
      </c>
    </row>
    <row r="9" spans="1:10" x14ac:dyDescent="0.35">
      <c r="A9" s="4" t="s">
        <v>51</v>
      </c>
      <c r="B9" s="29">
        <v>24</v>
      </c>
      <c r="C9" s="4">
        <f t="shared" si="0"/>
        <v>14</v>
      </c>
      <c r="D9" s="33">
        <f t="shared" si="1"/>
        <v>0.58333333333333337</v>
      </c>
      <c r="E9" s="29">
        <v>0</v>
      </c>
      <c r="F9" s="29">
        <v>1</v>
      </c>
      <c r="G9" s="29">
        <v>0</v>
      </c>
      <c r="H9" s="29">
        <v>13</v>
      </c>
      <c r="I9" s="29">
        <v>0</v>
      </c>
      <c r="J9" s="4">
        <f t="shared" si="2"/>
        <v>0</v>
      </c>
    </row>
    <row r="10" spans="1:10" x14ac:dyDescent="0.35">
      <c r="A10" s="4" t="s">
        <v>63</v>
      </c>
      <c r="B10" s="29">
        <v>70</v>
      </c>
      <c r="C10" s="4">
        <f t="shared" si="0"/>
        <v>39</v>
      </c>
      <c r="D10" s="33">
        <f t="shared" si="1"/>
        <v>0.55714285714285716</v>
      </c>
      <c r="E10" s="29">
        <v>1</v>
      </c>
      <c r="F10" s="29">
        <v>0</v>
      </c>
      <c r="G10" s="29">
        <v>3</v>
      </c>
      <c r="H10" s="29">
        <v>35</v>
      </c>
      <c r="I10" s="29">
        <v>0</v>
      </c>
      <c r="J10" s="4">
        <f t="shared" si="2"/>
        <v>0</v>
      </c>
    </row>
    <row r="11" spans="1:10" x14ac:dyDescent="0.35">
      <c r="A11" s="4" t="s">
        <v>65</v>
      </c>
      <c r="B11" s="29">
        <v>85</v>
      </c>
      <c r="C11" s="4">
        <f t="shared" si="0"/>
        <v>47</v>
      </c>
      <c r="D11" s="33">
        <f t="shared" si="1"/>
        <v>0.55294117647058827</v>
      </c>
      <c r="E11" s="29">
        <v>2</v>
      </c>
      <c r="F11" s="29">
        <v>1</v>
      </c>
      <c r="G11" s="29">
        <v>2</v>
      </c>
      <c r="H11" s="29">
        <v>42</v>
      </c>
      <c r="I11" s="29">
        <v>0</v>
      </c>
      <c r="J11" s="4">
        <f t="shared" si="2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Case Report</vt:lpstr>
      <vt:lpstr>Early Claims</vt:lpstr>
      <vt:lpstr>Units Detail</vt:lpstr>
      <vt:lpstr>Duplicates</vt:lpstr>
      <vt:lpstr>Pricing Detail</vt:lpstr>
      <vt:lpstr>Denial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Municharan KR</cp:lastModifiedBy>
  <cp:revision>0</cp:revision>
  <dcterms:created xsi:type="dcterms:W3CDTF">2026-10-12T07:46:39Z</dcterms:created>
  <dcterms:modified xsi:type="dcterms:W3CDTF">2026-10-16T11:45:35Z</dcterms:modified>
  <dc:language>en-US</dc:language>
</cp:coreProperties>
</file>